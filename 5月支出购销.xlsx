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C652851-1C15-4466-ADB1-EB174591BC8B}" xr6:coauthVersionLast="47" xr6:coauthVersionMax="47" xr10:uidLastSave="{00000000-0000-0000-0000-000000000000}"/>
  <bookViews>
    <workbookView xWindow="-120" yWindow="-120" windowWidth="29040" windowHeight="15720" activeTab="10" xr2:uid="{F2EF697B-96BC-4812-A136-DFE8817B3E00}"/>
  </bookViews>
  <sheets>
    <sheet name="5月3号" sheetId="1" r:id="rId1"/>
    <sheet name="5月4号" sheetId="10" r:id="rId2"/>
    <sheet name="5月7号" sheetId="2" r:id="rId3"/>
    <sheet name="5月11号" sheetId="3" r:id="rId4"/>
    <sheet name="5月12号" sheetId="9" r:id="rId5"/>
    <sheet name="5月13号" sheetId="4" r:id="rId6"/>
    <sheet name="5月18号" sheetId="6" r:id="rId7"/>
    <sheet name="5月19号" sheetId="7" r:id="rId8"/>
    <sheet name="5月20号" sheetId="11" r:id="rId9"/>
    <sheet name="5月20号北味村灶具" sheetId="12" r:id="rId10"/>
    <sheet name="灶具总" sheetId="16" r:id="rId11"/>
  </sheets>
  <definedNames>
    <definedName name="_xlnm.Print_Area" localSheetId="10">灶具总!$A$1:$H$94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4" i="16" l="1"/>
  <c r="H94" i="16"/>
  <c r="H13" i="11"/>
  <c r="E13" i="11"/>
  <c r="E6" i="11"/>
  <c r="H11" i="12"/>
  <c r="N9" i="9"/>
  <c r="H7" i="3"/>
  <c r="H8" i="2"/>
  <c r="N7" i="10"/>
  <c r="H9" i="10"/>
  <c r="H9" i="9"/>
  <c r="H19" i="1"/>
  <c r="H6" i="9"/>
  <c r="H11" i="7"/>
  <c r="H7" i="6"/>
  <c r="H11" i="4"/>
  <c r="H13" i="1"/>
  <c r="H6" i="11"/>
</calcChain>
</file>

<file path=xl/sharedStrings.xml><?xml version="1.0" encoding="utf-8"?>
<sst xmlns="http://schemas.openxmlformats.org/spreadsheetml/2006/main" count="779" uniqueCount="142">
  <si>
    <t>植物油炉灶采购表</t>
    <phoneticPr fontId="1" type="noConversion"/>
  </si>
  <si>
    <t>炉灶名称</t>
    <phoneticPr fontId="1" type="noConversion"/>
  </si>
  <si>
    <t>数量</t>
    <phoneticPr fontId="1" type="noConversion"/>
  </si>
  <si>
    <t>价格</t>
    <phoneticPr fontId="1" type="noConversion"/>
  </si>
  <si>
    <t>配件</t>
    <phoneticPr fontId="1" type="noConversion"/>
  </si>
  <si>
    <t>尺寸</t>
    <phoneticPr fontId="1" type="noConversion"/>
  </si>
  <si>
    <t>1500*800*900</t>
    <phoneticPr fontId="1" type="noConversion"/>
  </si>
  <si>
    <t>厂家：山东凯佳厨业</t>
    <phoneticPr fontId="1" type="noConversion"/>
  </si>
  <si>
    <t>双炒单温灶</t>
    <phoneticPr fontId="1" type="noConversion"/>
  </si>
  <si>
    <t>备注</t>
    <phoneticPr fontId="1" type="noConversion"/>
  </si>
  <si>
    <t>拉杆熄火、手柄开关</t>
    <phoneticPr fontId="1" type="noConversion"/>
  </si>
  <si>
    <t>木包装</t>
    <phoneticPr fontId="1" type="noConversion"/>
  </si>
  <si>
    <t>锅口</t>
    <phoneticPr fontId="1" type="noConversion"/>
  </si>
  <si>
    <t>双眼低汤炉</t>
    <phoneticPr fontId="1" type="noConversion"/>
  </si>
  <si>
    <t>1200*800*500</t>
    <phoneticPr fontId="1" type="noConversion"/>
  </si>
  <si>
    <t>炉头</t>
    <phoneticPr fontId="1" type="noConversion"/>
  </si>
  <si>
    <t>D4</t>
    <phoneticPr fontId="1" type="noConversion"/>
  </si>
  <si>
    <t>#</t>
  </si>
  <si>
    <t>#</t>
    <phoneticPr fontId="1" type="noConversion"/>
  </si>
  <si>
    <t>四眼煲仔炉</t>
    <phoneticPr fontId="1" type="noConversion"/>
  </si>
  <si>
    <t>2电气化、2电喷</t>
    <phoneticPr fontId="1" type="noConversion"/>
  </si>
  <si>
    <t>煲仔炉头</t>
    <phoneticPr fontId="1" type="noConversion"/>
  </si>
  <si>
    <t>750*900*900</t>
    <phoneticPr fontId="1" type="noConversion"/>
  </si>
  <si>
    <t>油箱</t>
    <phoneticPr fontId="1" type="noConversion"/>
  </si>
  <si>
    <t>600*800*800</t>
    <phoneticPr fontId="1" type="noConversion"/>
  </si>
  <si>
    <t>700*800*800</t>
    <phoneticPr fontId="1" type="noConversion"/>
  </si>
  <si>
    <t>800*800*800</t>
    <phoneticPr fontId="1" type="noConversion"/>
  </si>
  <si>
    <t>700*800*1000</t>
    <phoneticPr fontId="1" type="noConversion"/>
  </si>
  <si>
    <t>拉伸款，2*2排列</t>
    <phoneticPr fontId="1" type="noConversion"/>
  </si>
  <si>
    <t>560L</t>
    <phoneticPr fontId="1" type="noConversion"/>
  </si>
  <si>
    <t>448L</t>
    <phoneticPr fontId="1" type="noConversion"/>
  </si>
  <si>
    <t>392L</t>
    <phoneticPr fontId="1" type="noConversion"/>
  </si>
  <si>
    <t>336L</t>
    <phoneticPr fontId="1" type="noConversion"/>
  </si>
  <si>
    <t>总计：</t>
    <phoneticPr fontId="1" type="noConversion"/>
  </si>
  <si>
    <t>蒸汽发生器</t>
    <phoneticPr fontId="1" type="noConversion"/>
  </si>
  <si>
    <t>1100*600*800</t>
    <phoneticPr fontId="1" type="noConversion"/>
  </si>
  <si>
    <t>5月3号</t>
    <phoneticPr fontId="1" type="noConversion"/>
  </si>
  <si>
    <t>运费</t>
    <phoneticPr fontId="1" type="noConversion"/>
  </si>
  <si>
    <t>立式猛火灶</t>
    <phoneticPr fontId="1" type="noConversion"/>
  </si>
  <si>
    <t>手柄开关</t>
    <phoneticPr fontId="1" type="noConversion"/>
  </si>
  <si>
    <t>1500*900*800</t>
    <phoneticPr fontId="1" type="noConversion"/>
  </si>
  <si>
    <t>蒸饭车</t>
    <phoneticPr fontId="1" type="noConversion"/>
  </si>
  <si>
    <t>8层</t>
  </si>
  <si>
    <t>16号分体炉头</t>
    <phoneticPr fontId="1" type="noConversion"/>
  </si>
  <si>
    <t>无</t>
    <phoneticPr fontId="1" type="noConversion"/>
  </si>
  <si>
    <t>合计</t>
    <phoneticPr fontId="1" type="noConversion"/>
  </si>
  <si>
    <t>480*500*650</t>
    <phoneticPr fontId="1" type="noConversion"/>
  </si>
  <si>
    <t>5月7号</t>
    <phoneticPr fontId="1" type="noConversion"/>
  </si>
  <si>
    <t>500*500*650</t>
    <phoneticPr fontId="1" type="noConversion"/>
  </si>
  <si>
    <t>手柄开关、双层静音盆</t>
    <phoneticPr fontId="1" type="noConversion"/>
  </si>
  <si>
    <t>双层静音盆、手柄开关</t>
    <phoneticPr fontId="1" type="noConversion"/>
  </si>
  <si>
    <t>双层静音盆、手柄开关、拉杆熄火</t>
    <phoneticPr fontId="1" type="noConversion"/>
  </si>
  <si>
    <t>植物油炉灶/配件采购表</t>
    <phoneticPr fontId="1" type="noConversion"/>
  </si>
  <si>
    <t>炉灶/配件名称</t>
    <phoneticPr fontId="1" type="noConversion"/>
  </si>
  <si>
    <t>0.55喷油嘴</t>
    <phoneticPr fontId="1" type="noConversion"/>
  </si>
  <si>
    <t>喷油嘴</t>
    <phoneticPr fontId="1" type="noConversion"/>
  </si>
  <si>
    <t>国产</t>
    <phoneticPr fontId="1" type="noConversion"/>
  </si>
  <si>
    <t>丹弗斯</t>
    <phoneticPr fontId="1" type="noConversion"/>
  </si>
  <si>
    <t>5月18号</t>
    <phoneticPr fontId="1" type="noConversion"/>
  </si>
  <si>
    <t>木包装、宝塔接头</t>
    <phoneticPr fontId="1" type="noConversion"/>
  </si>
  <si>
    <t>双眼低汤灶</t>
    <phoneticPr fontId="1" type="noConversion"/>
  </si>
  <si>
    <t>5月11号</t>
    <phoneticPr fontId="1" type="noConversion"/>
  </si>
  <si>
    <t>5月13号</t>
    <phoneticPr fontId="1" type="noConversion"/>
  </si>
  <si>
    <t>木包装、宝塔接头、不锈钢</t>
    <phoneticPr fontId="1" type="noConversion"/>
  </si>
  <si>
    <t>煲仔喷油嘴</t>
    <phoneticPr fontId="1" type="noConversion"/>
  </si>
  <si>
    <t>1800*900*800</t>
    <phoneticPr fontId="1" type="noConversion"/>
  </si>
  <si>
    <t>不锈钢、拉杆熄火、手柄开关</t>
    <phoneticPr fontId="1" type="noConversion"/>
  </si>
  <si>
    <t>单炒单温灶</t>
    <phoneticPr fontId="1" type="noConversion"/>
  </si>
  <si>
    <t>双眼煲仔炉</t>
    <phoneticPr fontId="1" type="noConversion"/>
  </si>
  <si>
    <t>电气化</t>
    <phoneticPr fontId="1" type="noConversion"/>
  </si>
  <si>
    <t>煲仔炉灶</t>
    <phoneticPr fontId="1" type="noConversion"/>
  </si>
  <si>
    <t>不锈钢、拉伸款</t>
    <phoneticPr fontId="1" type="noConversion"/>
  </si>
  <si>
    <t>竖列</t>
    <phoneticPr fontId="1" type="noConversion"/>
  </si>
  <si>
    <t>木包装、宝塔接头、间隔13公分</t>
    <phoneticPr fontId="1" type="noConversion"/>
  </si>
  <si>
    <t>8层</t>
    <phoneticPr fontId="1" type="noConversion"/>
  </si>
  <si>
    <t>海鲜蒸柜</t>
    <phoneticPr fontId="1" type="noConversion"/>
  </si>
  <si>
    <t>1200*900*1850</t>
    <phoneticPr fontId="1" type="noConversion"/>
  </si>
  <si>
    <t>5月12号</t>
    <phoneticPr fontId="1" type="noConversion"/>
  </si>
  <si>
    <t>厂家：山东德旺</t>
    <phoneticPr fontId="1" type="noConversion"/>
  </si>
  <si>
    <t>战狼</t>
    <phoneticPr fontId="1" type="noConversion"/>
  </si>
  <si>
    <t>厂家：佛山桉燃</t>
    <phoneticPr fontId="1" type="noConversion"/>
  </si>
  <si>
    <t>煲仔</t>
    <phoneticPr fontId="1" type="noConversion"/>
  </si>
  <si>
    <t>电喷</t>
    <phoneticPr fontId="1" type="noConversion"/>
  </si>
  <si>
    <t>猛火</t>
    <phoneticPr fontId="1" type="noConversion"/>
  </si>
  <si>
    <t>5月4号</t>
    <phoneticPr fontId="1" type="noConversion"/>
  </si>
  <si>
    <t>泥潭大锅灶</t>
    <phoneticPr fontId="1" type="noConversion"/>
  </si>
  <si>
    <t>制气化</t>
    <phoneticPr fontId="1" type="noConversion"/>
  </si>
  <si>
    <t>植物油采购表</t>
    <phoneticPr fontId="1" type="noConversion"/>
  </si>
  <si>
    <t>厂家：宁夏乾元嘉壹商贸有限公司</t>
    <phoneticPr fontId="1" type="noConversion"/>
  </si>
  <si>
    <t>商品名称</t>
    <phoneticPr fontId="1" type="noConversion"/>
  </si>
  <si>
    <t>单位</t>
    <phoneticPr fontId="1" type="noConversion"/>
  </si>
  <si>
    <t>单价</t>
    <phoneticPr fontId="1" type="noConversion"/>
  </si>
  <si>
    <t>总计金额</t>
    <phoneticPr fontId="1" type="noConversion"/>
  </si>
  <si>
    <t>新液蜡2号</t>
    <phoneticPr fontId="1" type="noConversion"/>
  </si>
  <si>
    <t>吨</t>
    <phoneticPr fontId="1" type="noConversion"/>
  </si>
  <si>
    <t>吨桶</t>
    <phoneticPr fontId="1" type="noConversion"/>
  </si>
  <si>
    <t>个</t>
    <phoneticPr fontId="1" type="noConversion"/>
  </si>
  <si>
    <t>桉燃碳氢燃料3号</t>
    <phoneticPr fontId="1" type="noConversion"/>
  </si>
  <si>
    <t>厂家：佛山桉燃生物科技有限公司</t>
    <phoneticPr fontId="1" type="noConversion"/>
  </si>
  <si>
    <t>手续费</t>
    <phoneticPr fontId="1" type="noConversion"/>
  </si>
  <si>
    <t>元</t>
    <phoneticPr fontId="1" type="noConversion"/>
  </si>
  <si>
    <t>开票费</t>
    <phoneticPr fontId="1" type="noConversion"/>
  </si>
  <si>
    <t>厂家：厦门诚裕丰金属材料有限公司</t>
    <phoneticPr fontId="1" type="noConversion"/>
  </si>
  <si>
    <t>1000*500*800</t>
    <phoneticPr fontId="1" type="noConversion"/>
  </si>
  <si>
    <t>K2</t>
    <phoneticPr fontId="1" type="noConversion"/>
  </si>
  <si>
    <t>专车</t>
    <phoneticPr fontId="1" type="noConversion"/>
  </si>
  <si>
    <t>900*1100*800</t>
    <phoneticPr fontId="1" type="noConversion"/>
  </si>
  <si>
    <t>1000*900*750</t>
    <phoneticPr fontId="1" type="noConversion"/>
  </si>
  <si>
    <t>一字排</t>
    <phoneticPr fontId="1" type="noConversion"/>
  </si>
  <si>
    <t>5月19号</t>
    <phoneticPr fontId="1" type="noConversion"/>
  </si>
  <si>
    <t>单眼低汤炉</t>
    <phoneticPr fontId="1" type="noConversion"/>
  </si>
  <si>
    <t>单炒单温</t>
    <phoneticPr fontId="1" type="noConversion"/>
  </si>
  <si>
    <t>手柄开关、拉杆熄火</t>
    <phoneticPr fontId="1" type="noConversion"/>
  </si>
  <si>
    <t>木包装、不锈钢</t>
    <phoneticPr fontId="1" type="noConversion"/>
  </si>
  <si>
    <t>合计：</t>
    <phoneticPr fontId="1" type="noConversion"/>
  </si>
  <si>
    <t>蒸包炉</t>
    <phoneticPr fontId="1" type="noConversion"/>
  </si>
  <si>
    <t>500*800*800</t>
    <phoneticPr fontId="1" type="noConversion"/>
  </si>
  <si>
    <t>1200*800*650</t>
    <phoneticPr fontId="1" type="noConversion"/>
  </si>
  <si>
    <t>1000*900*800</t>
    <phoneticPr fontId="1" type="noConversion"/>
  </si>
  <si>
    <t>650*650*750</t>
    <phoneticPr fontId="1" type="noConversion"/>
  </si>
  <si>
    <t>定制四炒单温</t>
    <phoneticPr fontId="1" type="noConversion"/>
  </si>
  <si>
    <t>35/28</t>
    <phoneticPr fontId="1" type="noConversion"/>
  </si>
  <si>
    <t>800*900*800</t>
    <phoneticPr fontId="1" type="noConversion"/>
  </si>
  <si>
    <t>六眼煲仔炉</t>
    <phoneticPr fontId="1" type="noConversion"/>
  </si>
  <si>
    <t>4电气化</t>
    <phoneticPr fontId="1" type="noConversion"/>
  </si>
  <si>
    <t>2电喷</t>
  </si>
  <si>
    <t>单眼低汤灶</t>
    <phoneticPr fontId="1" type="noConversion"/>
  </si>
  <si>
    <t>喷油嘴0.6</t>
    <phoneticPr fontId="1" type="noConversion"/>
  </si>
  <si>
    <t>每口间隔13公分，木包装</t>
    <phoneticPr fontId="1" type="noConversion"/>
  </si>
  <si>
    <t>右上俩个是电喷，木包装</t>
    <phoneticPr fontId="1" type="noConversion"/>
  </si>
  <si>
    <t>煮面桶</t>
    <phoneticPr fontId="1" type="noConversion"/>
  </si>
  <si>
    <t>直径50</t>
    <phoneticPr fontId="1" type="noConversion"/>
  </si>
  <si>
    <t>2*2排列、拉伸款</t>
    <phoneticPr fontId="1" type="noConversion"/>
  </si>
  <si>
    <t>2*3排列、拉伸款</t>
    <phoneticPr fontId="1" type="noConversion"/>
  </si>
  <si>
    <t>煲仔</t>
  </si>
  <si>
    <t>0.6喷油嘴</t>
    <phoneticPr fontId="1" type="noConversion"/>
  </si>
  <si>
    <t>平底、喷油嘴0.45</t>
    <phoneticPr fontId="1" type="noConversion"/>
  </si>
  <si>
    <t>多管燃烧室、喷油嘴0.45</t>
    <phoneticPr fontId="1" type="noConversion"/>
  </si>
  <si>
    <t>3层</t>
    <phoneticPr fontId="1" type="noConversion"/>
  </si>
  <si>
    <t>2200*950*800</t>
    <phoneticPr fontId="1" type="noConversion"/>
  </si>
  <si>
    <t>电线包装厚实一些，客户那边厨房有老鼠咬电线</t>
    <phoneticPr fontId="1" type="noConversion"/>
  </si>
  <si>
    <t>5月20号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</si>
</sst>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16AB-28B2-4CDA-BE4F-DC9BEA86FDB6}">
  <dimension ref="A1:I33"/>
  <sheetViews>
    <sheetView workbookViewId="0">
      <selection sqref="A1:XFD19"/>
    </sheetView>
  </sheetViews>
  <sheetFormatPr defaultRowHeight="14.25" x14ac:dyDescent="0.2"/>
  <cols>
    <col min="1" max="5" width="15.625" customWidth="1"/>
    <col min="6" max="6" width="20.625" customWidth="1"/>
    <col min="7" max="7" width="15.625" customWidth="1"/>
  </cols>
  <sheetData>
    <row r="1" spans="1:9" x14ac:dyDescent="0.2">
      <c r="A1" s="9" t="s">
        <v>0</v>
      </c>
      <c r="B1" s="9"/>
      <c r="C1" s="9"/>
      <c r="D1" s="9"/>
      <c r="E1" s="9"/>
      <c r="F1" s="9"/>
      <c r="G1" s="9"/>
      <c r="H1" s="9"/>
    </row>
    <row r="2" spans="1:9" x14ac:dyDescent="0.2">
      <c r="A2" s="4" t="s">
        <v>36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1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1" t="s">
        <v>8</v>
      </c>
      <c r="B4" s="1" t="s">
        <v>6</v>
      </c>
      <c r="C4" s="1">
        <v>35</v>
      </c>
      <c r="D4" s="1" t="s">
        <v>16</v>
      </c>
      <c r="E4" s="1">
        <v>1</v>
      </c>
      <c r="F4" s="1" t="s">
        <v>10</v>
      </c>
      <c r="G4" s="1" t="s">
        <v>11</v>
      </c>
      <c r="H4" s="1">
        <v>1740</v>
      </c>
    </row>
    <row r="5" spans="1:9" ht="25.5" customHeight="1" x14ac:dyDescent="0.2">
      <c r="A5" s="1" t="s">
        <v>13</v>
      </c>
      <c r="B5" s="1" t="s">
        <v>117</v>
      </c>
      <c r="C5" s="1" t="s">
        <v>18</v>
      </c>
      <c r="D5" s="1" t="s">
        <v>16</v>
      </c>
      <c r="E5" s="1">
        <v>1</v>
      </c>
      <c r="F5" s="1" t="s">
        <v>18</v>
      </c>
      <c r="G5" s="1" t="s">
        <v>11</v>
      </c>
      <c r="H5" s="1">
        <v>1450</v>
      </c>
    </row>
    <row r="6" spans="1:9" ht="25.5" customHeight="1" x14ac:dyDescent="0.2">
      <c r="A6" s="1" t="s">
        <v>19</v>
      </c>
      <c r="B6" s="1" t="s">
        <v>22</v>
      </c>
      <c r="C6" s="1" t="s">
        <v>20</v>
      </c>
      <c r="D6" s="1" t="s">
        <v>21</v>
      </c>
      <c r="E6" s="1">
        <v>1</v>
      </c>
      <c r="F6" s="1" t="s">
        <v>28</v>
      </c>
      <c r="G6" s="1" t="s">
        <v>11</v>
      </c>
      <c r="H6" s="1">
        <v>1970</v>
      </c>
    </row>
    <row r="7" spans="1:9" x14ac:dyDescent="0.2">
      <c r="A7" s="9" t="s">
        <v>23</v>
      </c>
      <c r="B7" s="1" t="s">
        <v>24</v>
      </c>
      <c r="C7" s="1" t="s">
        <v>17</v>
      </c>
      <c r="D7" s="1" t="s">
        <v>17</v>
      </c>
      <c r="E7" s="1">
        <v>1</v>
      </c>
      <c r="F7" s="1" t="s">
        <v>17</v>
      </c>
      <c r="G7" s="1" t="s">
        <v>32</v>
      </c>
      <c r="H7" s="1">
        <v>490</v>
      </c>
    </row>
    <row r="8" spans="1:9" x14ac:dyDescent="0.2">
      <c r="A8" s="9"/>
      <c r="B8" s="1" t="s">
        <v>25</v>
      </c>
      <c r="C8" s="1" t="s">
        <v>17</v>
      </c>
      <c r="D8" s="1" t="s">
        <v>17</v>
      </c>
      <c r="E8" s="1">
        <v>1</v>
      </c>
      <c r="F8" s="1" t="s">
        <v>17</v>
      </c>
      <c r="G8" s="1" t="s">
        <v>31</v>
      </c>
      <c r="H8" s="1">
        <v>530</v>
      </c>
    </row>
    <row r="9" spans="1:9" x14ac:dyDescent="0.2">
      <c r="A9" s="9"/>
      <c r="B9" s="1" t="s">
        <v>26</v>
      </c>
      <c r="C9" s="1" t="s">
        <v>17</v>
      </c>
      <c r="D9" s="1" t="s">
        <v>17</v>
      </c>
      <c r="E9" s="1">
        <v>1</v>
      </c>
      <c r="F9" s="1" t="s">
        <v>17</v>
      </c>
      <c r="G9" s="1" t="s">
        <v>30</v>
      </c>
      <c r="H9" s="1">
        <v>590</v>
      </c>
    </row>
    <row r="10" spans="1:9" x14ac:dyDescent="0.2">
      <c r="A10" s="9"/>
      <c r="B10" s="1" t="s">
        <v>27</v>
      </c>
      <c r="C10" s="1" t="s">
        <v>17</v>
      </c>
      <c r="D10" s="1" t="s">
        <v>17</v>
      </c>
      <c r="E10" s="1">
        <v>1</v>
      </c>
      <c r="F10" s="1" t="s">
        <v>17</v>
      </c>
      <c r="G10" s="1" t="s">
        <v>29</v>
      </c>
      <c r="H10" s="1">
        <v>630</v>
      </c>
    </row>
    <row r="11" spans="1:9" ht="35.25" customHeight="1" x14ac:dyDescent="0.2">
      <c r="A11" s="2" t="s">
        <v>34</v>
      </c>
      <c r="B11" s="2" t="s">
        <v>35</v>
      </c>
      <c r="C11" s="2" t="s">
        <v>17</v>
      </c>
      <c r="D11" s="2" t="s">
        <v>17</v>
      </c>
      <c r="E11" s="2">
        <v>1</v>
      </c>
      <c r="F11" s="2" t="s">
        <v>17</v>
      </c>
      <c r="G11" s="1" t="s">
        <v>11</v>
      </c>
      <c r="H11" s="2">
        <v>4180</v>
      </c>
    </row>
    <row r="12" spans="1:9" s="1" customFormat="1" x14ac:dyDescent="0.2">
      <c r="A12" s="2" t="s">
        <v>37</v>
      </c>
      <c r="B12" s="9" t="s">
        <v>18</v>
      </c>
      <c r="C12" s="9"/>
      <c r="D12" s="9"/>
      <c r="E12" s="9"/>
      <c r="F12" s="9"/>
      <c r="G12" s="9"/>
      <c r="H12" s="2">
        <v>763</v>
      </c>
    </row>
    <row r="13" spans="1:9" ht="21" customHeight="1" x14ac:dyDescent="0.2">
      <c r="A13" s="5" t="s">
        <v>45</v>
      </c>
      <c r="B13" s="1"/>
      <c r="C13" s="1"/>
      <c r="D13" s="1"/>
      <c r="E13" s="5">
        <v>8</v>
      </c>
      <c r="F13" s="1"/>
      <c r="H13" s="5">
        <f>SUM(H4:H12)</f>
        <v>12343</v>
      </c>
    </row>
    <row r="14" spans="1:9" x14ac:dyDescent="0.2">
      <c r="A14" s="9"/>
      <c r="B14" s="9"/>
      <c r="C14" s="9"/>
      <c r="D14" s="9"/>
      <c r="E14" s="9"/>
      <c r="F14" s="9"/>
      <c r="G14" s="9"/>
      <c r="H14" s="9"/>
      <c r="I14" s="1"/>
    </row>
    <row r="15" spans="1:9" x14ac:dyDescent="0.2">
      <c r="B15" s="10" t="s">
        <v>80</v>
      </c>
      <c r="C15" s="10"/>
      <c r="D15" s="1"/>
      <c r="E15" s="1"/>
      <c r="F15" s="1"/>
      <c r="G15" s="1"/>
      <c r="H15" s="1"/>
      <c r="I15" s="1"/>
    </row>
    <row r="16" spans="1:9" ht="25.5" customHeight="1" x14ac:dyDescent="0.2">
      <c r="A16" s="9" t="s">
        <v>55</v>
      </c>
      <c r="B16" s="1">
        <v>0.35</v>
      </c>
      <c r="C16" s="2" t="s">
        <v>69</v>
      </c>
      <c r="D16" s="1" t="s">
        <v>81</v>
      </c>
      <c r="E16" s="1">
        <v>5</v>
      </c>
      <c r="F16" s="2" t="s">
        <v>17</v>
      </c>
      <c r="G16" s="2" t="s">
        <v>17</v>
      </c>
      <c r="H16" s="1">
        <v>125</v>
      </c>
    </row>
    <row r="17" spans="1:9" ht="25.5" customHeight="1" x14ac:dyDescent="0.2">
      <c r="A17" s="9"/>
      <c r="B17" s="1">
        <v>0.45</v>
      </c>
      <c r="C17" s="2" t="s">
        <v>82</v>
      </c>
      <c r="D17" s="1" t="s">
        <v>81</v>
      </c>
      <c r="E17" s="1">
        <v>5</v>
      </c>
      <c r="F17" s="2" t="s">
        <v>17</v>
      </c>
      <c r="G17" s="2" t="s">
        <v>17</v>
      </c>
      <c r="H17" s="1">
        <v>180</v>
      </c>
    </row>
    <row r="18" spans="1:9" ht="27.75" customHeight="1" x14ac:dyDescent="0.2">
      <c r="A18" s="9"/>
      <c r="B18" s="1">
        <v>0.75</v>
      </c>
      <c r="C18" s="2" t="s">
        <v>82</v>
      </c>
      <c r="D18" s="1" t="s">
        <v>83</v>
      </c>
      <c r="E18" s="1">
        <v>10</v>
      </c>
      <c r="F18" s="2" t="s">
        <v>17</v>
      </c>
      <c r="G18" s="2" t="s">
        <v>17</v>
      </c>
      <c r="H18" s="1">
        <v>300</v>
      </c>
    </row>
    <row r="19" spans="1:9" ht="21" customHeight="1" x14ac:dyDescent="0.2">
      <c r="A19" s="5" t="s">
        <v>45</v>
      </c>
      <c r="B19" s="1"/>
      <c r="C19" s="1"/>
      <c r="D19" s="1"/>
      <c r="E19" s="5">
        <v>20</v>
      </c>
      <c r="F19" s="1"/>
      <c r="H19" s="5">
        <f>SUM(H16:H18)</f>
        <v>605</v>
      </c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</sheetData>
  <mergeCells count="7">
    <mergeCell ref="A16:A18"/>
    <mergeCell ref="B15:C15"/>
    <mergeCell ref="A14:H14"/>
    <mergeCell ref="A1:H1"/>
    <mergeCell ref="B2:C2"/>
    <mergeCell ref="A7:A10"/>
    <mergeCell ref="B12:G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D14-FBB8-4ACE-A7B0-2F09DBCE54DB}">
  <dimension ref="A1:O33"/>
  <sheetViews>
    <sheetView workbookViewId="0">
      <selection activeCell="J2" sqref="J2:N7"/>
    </sheetView>
  </sheetViews>
  <sheetFormatPr defaultRowHeight="14.25" x14ac:dyDescent="0.2"/>
  <cols>
    <col min="1" max="1" width="15.625" customWidth="1"/>
    <col min="2" max="2" width="13.375" customWidth="1"/>
    <col min="3" max="5" width="15.625" customWidth="1"/>
    <col min="6" max="6" width="23.375" customWidth="1"/>
    <col min="7" max="7" width="15.625" customWidth="1"/>
    <col min="9" max="9" width="12.5" customWidth="1"/>
    <col min="10" max="14" width="15.625" customWidth="1"/>
  </cols>
  <sheetData>
    <row r="1" spans="1:15" x14ac:dyDescent="0.2">
      <c r="A1" s="9" t="s">
        <v>0</v>
      </c>
      <c r="B1" s="9"/>
      <c r="C1" s="9"/>
      <c r="D1" s="9"/>
      <c r="E1" s="9"/>
      <c r="F1" s="9"/>
      <c r="G1" s="9"/>
      <c r="H1" s="9"/>
      <c r="J1" s="9" t="s">
        <v>87</v>
      </c>
      <c r="K1" s="9"/>
      <c r="L1" s="9"/>
      <c r="M1" s="9"/>
      <c r="N1" s="9"/>
      <c r="O1" s="9"/>
    </row>
    <row r="2" spans="1:15" ht="20.25" customHeight="1" x14ac:dyDescent="0.2">
      <c r="A2" s="4" t="s">
        <v>84</v>
      </c>
      <c r="B2" s="10" t="s">
        <v>80</v>
      </c>
      <c r="C2" s="10"/>
      <c r="G2" s="1"/>
      <c r="H2" s="1"/>
      <c r="I2" s="1"/>
      <c r="J2" s="6" t="s">
        <v>88</v>
      </c>
      <c r="K2" s="6"/>
      <c r="L2" s="6"/>
      <c r="M2" s="6"/>
      <c r="N2" s="6"/>
    </row>
    <row r="3" spans="1:15" ht="25.5" customHeight="1" x14ac:dyDescent="0.2">
      <c r="A3" s="5" t="s">
        <v>1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  <c r="J3" s="5" t="s">
        <v>89</v>
      </c>
      <c r="K3" s="5" t="s">
        <v>90</v>
      </c>
      <c r="L3" s="5" t="s">
        <v>91</v>
      </c>
      <c r="M3" s="5" t="s">
        <v>2</v>
      </c>
      <c r="N3" s="5" t="s">
        <v>92</v>
      </c>
    </row>
    <row r="4" spans="1:15" ht="25.5" customHeight="1" x14ac:dyDescent="0.2">
      <c r="A4" s="1" t="s">
        <v>85</v>
      </c>
      <c r="B4" s="1" t="s">
        <v>106</v>
      </c>
      <c r="C4" s="1">
        <v>80</v>
      </c>
      <c r="D4" s="1" t="s">
        <v>86</v>
      </c>
      <c r="E4" s="1">
        <v>2</v>
      </c>
      <c r="F4" s="1" t="s">
        <v>39</v>
      </c>
      <c r="G4" s="1" t="s">
        <v>11</v>
      </c>
      <c r="H4" s="1">
        <v>4320</v>
      </c>
      <c r="J4" s="5" t="s">
        <v>93</v>
      </c>
      <c r="K4" s="1" t="s">
        <v>94</v>
      </c>
      <c r="L4" s="1">
        <v>7730</v>
      </c>
      <c r="M4" s="1">
        <v>0.77800000000000002</v>
      </c>
      <c r="N4" s="1">
        <v>6013.94</v>
      </c>
    </row>
    <row r="5" spans="1:15" ht="25.5" customHeight="1" x14ac:dyDescent="0.2">
      <c r="A5" s="5" t="s">
        <v>45</v>
      </c>
      <c r="B5" s="11"/>
      <c r="C5" s="11"/>
      <c r="D5" s="11"/>
      <c r="E5" s="5">
        <v>2</v>
      </c>
      <c r="F5" s="11"/>
      <c r="G5" s="11"/>
      <c r="H5" s="5">
        <v>4320</v>
      </c>
      <c r="J5" s="5" t="s">
        <v>95</v>
      </c>
      <c r="K5" s="1" t="s">
        <v>96</v>
      </c>
      <c r="L5" s="1">
        <v>300</v>
      </c>
      <c r="M5" s="1">
        <v>1</v>
      </c>
      <c r="N5" s="1">
        <v>300</v>
      </c>
    </row>
    <row r="6" spans="1:15" ht="25.5" customHeight="1" x14ac:dyDescent="0.2">
      <c r="A6" s="1"/>
      <c r="B6" s="6" t="s">
        <v>102</v>
      </c>
      <c r="C6" s="6"/>
      <c r="D6" s="1"/>
      <c r="E6" s="1"/>
      <c r="F6" s="1"/>
      <c r="G6" s="1"/>
      <c r="H6" s="1"/>
      <c r="J6" s="5" t="s">
        <v>37</v>
      </c>
      <c r="N6" s="1">
        <v>900</v>
      </c>
    </row>
    <row r="7" spans="1:15" ht="25.5" customHeight="1" x14ac:dyDescent="0.2">
      <c r="A7" s="5" t="s">
        <v>34</v>
      </c>
      <c r="B7" s="1" t="s">
        <v>103</v>
      </c>
      <c r="C7" s="1" t="s">
        <v>18</v>
      </c>
      <c r="D7" s="1" t="s">
        <v>104</v>
      </c>
      <c r="E7" s="1">
        <v>2</v>
      </c>
      <c r="F7" s="1" t="s">
        <v>18</v>
      </c>
      <c r="G7" s="1" t="s">
        <v>18</v>
      </c>
      <c r="H7" s="2">
        <v>11200</v>
      </c>
      <c r="J7" s="5" t="s">
        <v>33</v>
      </c>
      <c r="K7" s="5"/>
      <c r="L7" s="5"/>
      <c r="M7" s="5"/>
      <c r="N7" s="5">
        <f>SUM(N4:N6)</f>
        <v>7213.94</v>
      </c>
    </row>
    <row r="8" spans="1:15" ht="25.5" customHeight="1" x14ac:dyDescent="0.2">
      <c r="A8" s="5" t="s">
        <v>37</v>
      </c>
      <c r="B8" s="3"/>
      <c r="C8" s="3"/>
      <c r="D8" s="3"/>
      <c r="E8" s="5"/>
      <c r="F8" s="3"/>
      <c r="G8" s="2" t="s">
        <v>105</v>
      </c>
      <c r="H8" s="2">
        <v>350</v>
      </c>
      <c r="J8" s="5"/>
      <c r="K8" s="1"/>
      <c r="L8" s="1"/>
      <c r="M8" s="1"/>
      <c r="N8" s="1"/>
    </row>
    <row r="9" spans="1:15" ht="25.5" customHeight="1" x14ac:dyDescent="0.2">
      <c r="A9" s="5" t="s">
        <v>45</v>
      </c>
      <c r="B9" s="11"/>
      <c r="C9" s="11"/>
      <c r="D9" s="11"/>
      <c r="E9" s="5">
        <v>2</v>
      </c>
      <c r="F9" s="11"/>
      <c r="G9" s="11"/>
      <c r="H9" s="5">
        <f>SUM(H7:H8)</f>
        <v>11550</v>
      </c>
      <c r="J9" s="5"/>
      <c r="K9" s="1"/>
      <c r="L9" s="1"/>
      <c r="M9" s="1"/>
      <c r="N9" s="1"/>
    </row>
    <row r="10" spans="1:15" x14ac:dyDescent="0.2">
      <c r="A10" s="1"/>
      <c r="B10" s="1"/>
      <c r="C10" s="1"/>
      <c r="D10" s="1"/>
      <c r="E10" s="1"/>
      <c r="F10" s="1"/>
      <c r="G10" s="1"/>
      <c r="H10" s="2"/>
    </row>
    <row r="11" spans="1:15" x14ac:dyDescent="0.2">
      <c r="A11" s="2"/>
      <c r="B11" s="2"/>
      <c r="C11" s="2"/>
      <c r="D11" s="2"/>
      <c r="E11" s="2"/>
      <c r="F11" s="2"/>
      <c r="G11" s="1"/>
    </row>
    <row r="12" spans="1:15" x14ac:dyDescent="0.2">
      <c r="A12" s="2"/>
      <c r="B12" s="1"/>
      <c r="C12" s="1"/>
      <c r="D12" s="1"/>
      <c r="E12" s="1"/>
      <c r="F12" s="1"/>
      <c r="G12" s="1"/>
      <c r="H12" s="2"/>
    </row>
    <row r="13" spans="1:15" x14ac:dyDescent="0.2">
      <c r="A13" s="5"/>
      <c r="B13" s="1"/>
      <c r="C13" s="1"/>
      <c r="D13" s="1"/>
      <c r="E13" s="5"/>
      <c r="F13" s="1"/>
      <c r="H13" s="5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7">
    <mergeCell ref="B9:D9"/>
    <mergeCell ref="F9:G9"/>
    <mergeCell ref="A1:H1"/>
    <mergeCell ref="B2:C2"/>
    <mergeCell ref="J1:O1"/>
    <mergeCell ref="F5:G5"/>
    <mergeCell ref="B5:D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B19F-2357-4DFD-A1D4-8F70212AE7B0}">
  <dimension ref="A1:I33"/>
  <sheetViews>
    <sheetView workbookViewId="0">
      <selection activeCell="A2" sqref="A2:H8"/>
    </sheetView>
  </sheetViews>
  <sheetFormatPr defaultRowHeight="14.25" x14ac:dyDescent="0.2"/>
  <cols>
    <col min="1" max="5" width="15.625" customWidth="1"/>
    <col min="6" max="6" width="20.625" customWidth="1"/>
    <col min="7" max="7" width="15.625" customWidth="1"/>
  </cols>
  <sheetData>
    <row r="1" spans="1:9" x14ac:dyDescent="0.2">
      <c r="A1" s="9" t="s">
        <v>0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47</v>
      </c>
      <c r="B2" s="10" t="s">
        <v>7</v>
      </c>
      <c r="C2" s="10"/>
      <c r="G2" s="1"/>
      <c r="H2" s="1"/>
      <c r="I2" s="1"/>
    </row>
    <row r="3" spans="1:9" ht="25.5" customHeight="1" x14ac:dyDescent="0.2">
      <c r="A3" s="5" t="s">
        <v>1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1" t="s">
        <v>38</v>
      </c>
      <c r="B4" s="1" t="s">
        <v>46</v>
      </c>
      <c r="C4" s="1">
        <v>31</v>
      </c>
      <c r="D4" s="1" t="s">
        <v>16</v>
      </c>
      <c r="E4" s="1">
        <v>1</v>
      </c>
      <c r="F4" s="1" t="s">
        <v>39</v>
      </c>
      <c r="G4" s="1" t="s">
        <v>11</v>
      </c>
      <c r="H4" s="1">
        <v>750</v>
      </c>
    </row>
    <row r="5" spans="1:9" ht="25.5" customHeight="1" x14ac:dyDescent="0.2">
      <c r="A5" s="1" t="s">
        <v>8</v>
      </c>
      <c r="B5" s="1" t="s">
        <v>40</v>
      </c>
      <c r="C5" s="1">
        <v>31</v>
      </c>
      <c r="D5" s="1" t="s">
        <v>16</v>
      </c>
      <c r="E5" s="1">
        <v>1</v>
      </c>
      <c r="F5" s="1" t="s">
        <v>10</v>
      </c>
      <c r="G5" s="1" t="s">
        <v>11</v>
      </c>
      <c r="H5" s="1">
        <v>1720</v>
      </c>
    </row>
    <row r="6" spans="1:9" ht="25.5" customHeight="1" x14ac:dyDescent="0.2">
      <c r="A6" s="1" t="s">
        <v>41</v>
      </c>
      <c r="B6" s="1" t="s">
        <v>42</v>
      </c>
      <c r="C6" s="1"/>
      <c r="D6" s="1" t="s">
        <v>43</v>
      </c>
      <c r="E6" s="1">
        <v>1</v>
      </c>
      <c r="F6" s="1" t="s">
        <v>44</v>
      </c>
      <c r="G6" s="1" t="s">
        <v>11</v>
      </c>
      <c r="H6" s="1">
        <v>1820</v>
      </c>
    </row>
    <row r="7" spans="1:9" ht="25.5" customHeight="1" x14ac:dyDescent="0.2">
      <c r="A7" s="1" t="s">
        <v>37</v>
      </c>
      <c r="H7" s="1">
        <v>349</v>
      </c>
    </row>
    <row r="8" spans="1:9" ht="25.5" customHeight="1" x14ac:dyDescent="0.2">
      <c r="A8" s="5" t="s">
        <v>45</v>
      </c>
      <c r="B8" s="1"/>
      <c r="C8" s="1"/>
      <c r="D8" s="1"/>
      <c r="E8" s="5">
        <v>3</v>
      </c>
      <c r="F8" s="1"/>
      <c r="G8" s="1"/>
      <c r="H8" s="5">
        <f>SUM(H4:H7)</f>
        <v>4639</v>
      </c>
    </row>
    <row r="9" spans="1:9" ht="25.5" customHeight="1" x14ac:dyDescent="0.2">
      <c r="A9" s="1"/>
      <c r="B9" s="1"/>
      <c r="C9" s="1"/>
      <c r="D9" s="1"/>
      <c r="E9" s="1"/>
      <c r="F9" s="1"/>
      <c r="G9" s="1"/>
      <c r="H9" s="1"/>
    </row>
    <row r="10" spans="1:9" ht="25.5" customHeight="1" x14ac:dyDescent="0.2">
      <c r="A10" s="1"/>
      <c r="B10" s="1"/>
      <c r="C10" s="1"/>
      <c r="D10" s="1"/>
      <c r="E10" s="1"/>
      <c r="F10" s="1"/>
      <c r="G10" s="1"/>
      <c r="H10" s="1"/>
    </row>
    <row r="11" spans="1:9" ht="35.25" customHeight="1" x14ac:dyDescent="0.2">
      <c r="A11" s="2"/>
      <c r="B11" s="2"/>
      <c r="C11" s="2"/>
      <c r="D11" s="2"/>
      <c r="E11" s="2"/>
      <c r="F11" s="2"/>
      <c r="G11" s="1"/>
      <c r="H11" s="2"/>
    </row>
    <row r="12" spans="1:9" s="1" customFormat="1" ht="30" customHeight="1" x14ac:dyDescent="0.2">
      <c r="A12" s="2"/>
      <c r="H12" s="2"/>
    </row>
    <row r="13" spans="1:9" ht="35.25" customHeight="1" x14ac:dyDescent="0.2">
      <c r="A13" s="5"/>
      <c r="B13" s="1"/>
      <c r="C13" s="1"/>
      <c r="D13" s="1"/>
      <c r="E13" s="5"/>
      <c r="F13" s="1"/>
      <c r="H13" s="5"/>
    </row>
    <row r="14" spans="1:9" x14ac:dyDescent="0.2">
      <c r="A14" s="1"/>
      <c r="B14" s="1"/>
      <c r="C14" s="1"/>
      <c r="D14" s="1"/>
      <c r="E14" s="1"/>
      <c r="F14" s="1"/>
      <c r="G14" s="1"/>
      <c r="H14" s="1"/>
    </row>
    <row r="15" spans="1:9" x14ac:dyDescent="0.2">
      <c r="A15" s="1"/>
      <c r="B15" s="1"/>
      <c r="C15" s="1"/>
      <c r="D15" s="1"/>
      <c r="E15" s="1"/>
      <c r="F15" s="1"/>
      <c r="G15" s="1"/>
      <c r="H15" s="1"/>
    </row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2">
    <mergeCell ref="B2:C2"/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A942-960C-452C-94AD-925FD7F8B6A5}">
  <dimension ref="A1:I33"/>
  <sheetViews>
    <sheetView workbookViewId="0">
      <selection activeCell="A2" sqref="A2:H6"/>
    </sheetView>
  </sheetViews>
  <sheetFormatPr defaultRowHeight="14.25" x14ac:dyDescent="0.2"/>
  <cols>
    <col min="1" max="5" width="15.625" customWidth="1"/>
    <col min="6" max="6" width="31.5" customWidth="1"/>
    <col min="7" max="7" width="15.625" customWidth="1"/>
  </cols>
  <sheetData>
    <row r="1" spans="1:9" x14ac:dyDescent="0.2">
      <c r="A1" s="9" t="s">
        <v>0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61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1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1" t="s">
        <v>38</v>
      </c>
      <c r="B4" s="1" t="s">
        <v>48</v>
      </c>
      <c r="C4" s="1">
        <v>31</v>
      </c>
      <c r="D4" s="1" t="s">
        <v>16</v>
      </c>
      <c r="E4" s="1">
        <v>1</v>
      </c>
      <c r="F4" s="1" t="s">
        <v>49</v>
      </c>
      <c r="G4" s="1" t="s">
        <v>11</v>
      </c>
      <c r="H4" s="1">
        <v>825</v>
      </c>
    </row>
    <row r="5" spans="1:9" ht="25.5" customHeight="1" x14ac:dyDescent="0.2">
      <c r="A5" s="1" t="s">
        <v>8</v>
      </c>
      <c r="B5" s="1" t="s">
        <v>40</v>
      </c>
      <c r="C5" s="1">
        <v>31</v>
      </c>
      <c r="D5" s="1" t="s">
        <v>16</v>
      </c>
      <c r="E5" s="1">
        <v>1</v>
      </c>
      <c r="F5" s="1" t="s">
        <v>51</v>
      </c>
      <c r="G5" s="1" t="s">
        <v>11</v>
      </c>
      <c r="H5" s="1">
        <v>1870</v>
      </c>
    </row>
    <row r="6" spans="1:9" ht="25.5" customHeight="1" x14ac:dyDescent="0.2">
      <c r="A6" s="2" t="s">
        <v>37</v>
      </c>
      <c r="B6" s="1"/>
      <c r="C6" s="1"/>
      <c r="D6" s="1"/>
      <c r="E6" s="5"/>
      <c r="F6" s="1"/>
      <c r="G6" s="1"/>
      <c r="H6" s="1">
        <v>249</v>
      </c>
    </row>
    <row r="7" spans="1:9" ht="25.5" customHeight="1" x14ac:dyDescent="0.2">
      <c r="A7" s="5" t="s">
        <v>45</v>
      </c>
      <c r="B7" s="1"/>
      <c r="C7" s="1"/>
      <c r="D7" s="1"/>
      <c r="E7" s="5">
        <v>2</v>
      </c>
      <c r="F7" s="1"/>
      <c r="G7" s="1"/>
      <c r="H7" s="1">
        <f>SUM(H5:H6)</f>
        <v>2119</v>
      </c>
    </row>
    <row r="8" spans="1:9" x14ac:dyDescent="0.2">
      <c r="A8" s="1"/>
      <c r="B8" s="1"/>
      <c r="C8" s="1"/>
      <c r="D8" s="1"/>
      <c r="E8" s="1"/>
      <c r="F8" s="1"/>
      <c r="G8" s="1"/>
      <c r="H8" s="1"/>
    </row>
    <row r="9" spans="1:9" x14ac:dyDescent="0.2">
      <c r="A9" s="1"/>
      <c r="B9" s="1"/>
      <c r="C9" s="1"/>
      <c r="D9" s="1"/>
      <c r="E9" s="1"/>
      <c r="F9" s="1"/>
      <c r="G9" s="1"/>
      <c r="H9" s="1"/>
    </row>
    <row r="10" spans="1:9" x14ac:dyDescent="0.2">
      <c r="A10" s="1"/>
      <c r="B10" s="1"/>
      <c r="C10" s="1"/>
      <c r="D10" s="1"/>
      <c r="E10" s="1"/>
      <c r="F10" s="1"/>
      <c r="G10" s="1"/>
      <c r="H10" s="1"/>
    </row>
    <row r="11" spans="1:9" x14ac:dyDescent="0.2">
      <c r="A11" s="2"/>
      <c r="B11" s="2"/>
      <c r="C11" s="2"/>
      <c r="D11" s="2"/>
      <c r="E11" s="2"/>
      <c r="F11" s="2"/>
      <c r="G11" s="1"/>
      <c r="H11" s="2"/>
    </row>
    <row r="12" spans="1:9" x14ac:dyDescent="0.2">
      <c r="A12" s="2"/>
      <c r="B12" s="1"/>
      <c r="C12" s="1"/>
      <c r="D12" s="1"/>
      <c r="E12" s="1"/>
      <c r="F12" s="1"/>
      <c r="G12" s="1"/>
      <c r="H12" s="2"/>
    </row>
    <row r="13" spans="1:9" x14ac:dyDescent="0.2">
      <c r="A13" s="5"/>
      <c r="B13" s="1"/>
      <c r="C13" s="1"/>
      <c r="D13" s="1"/>
      <c r="E13" s="5"/>
      <c r="F13" s="1"/>
      <c r="H13" s="5"/>
    </row>
    <row r="14" spans="1:9" x14ac:dyDescent="0.2">
      <c r="A14" s="1"/>
      <c r="B14" s="1"/>
      <c r="C14" s="1"/>
      <c r="D14" s="1"/>
      <c r="E14" s="1"/>
      <c r="F14" s="1"/>
      <c r="G14" s="1"/>
      <c r="H14" s="1"/>
    </row>
    <row r="15" spans="1:9" x14ac:dyDescent="0.2">
      <c r="A15" s="1"/>
      <c r="B15" s="1"/>
      <c r="C15" s="1"/>
      <c r="D15" s="1"/>
      <c r="E15" s="1"/>
      <c r="F15" s="1"/>
      <c r="G15" s="1"/>
      <c r="H15" s="1"/>
    </row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2">
    <mergeCell ref="A1:H1"/>
    <mergeCell ref="B2:C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2134-7304-4976-95D3-9774C9A96463}">
  <dimension ref="A1:O33"/>
  <sheetViews>
    <sheetView workbookViewId="0">
      <selection activeCell="J2" sqref="J2:N9"/>
    </sheetView>
  </sheetViews>
  <sheetFormatPr defaultRowHeight="14.25" x14ac:dyDescent="0.2"/>
  <cols>
    <col min="1" max="5" width="15.625" customWidth="1"/>
    <col min="6" max="6" width="23.875" customWidth="1"/>
    <col min="7" max="7" width="15.625" customWidth="1"/>
    <col min="10" max="14" width="15.625" customWidth="1"/>
  </cols>
  <sheetData>
    <row r="1" spans="1:15" x14ac:dyDescent="0.2">
      <c r="A1" s="9" t="s">
        <v>0</v>
      </c>
      <c r="B1" s="9"/>
      <c r="C1" s="9"/>
      <c r="D1" s="9"/>
      <c r="E1" s="9"/>
      <c r="F1" s="9"/>
      <c r="G1" s="9"/>
      <c r="H1" s="9"/>
      <c r="J1" s="9" t="s">
        <v>87</v>
      </c>
      <c r="K1" s="9"/>
      <c r="L1" s="9"/>
      <c r="M1" s="9"/>
      <c r="N1" s="9"/>
      <c r="O1" s="9"/>
    </row>
    <row r="2" spans="1:15" ht="20.25" customHeight="1" x14ac:dyDescent="0.2">
      <c r="A2" s="4" t="s">
        <v>77</v>
      </c>
      <c r="B2" s="10" t="s">
        <v>78</v>
      </c>
      <c r="C2" s="10"/>
      <c r="F2" s="1"/>
      <c r="G2" s="1"/>
      <c r="H2" s="1"/>
      <c r="I2" s="1"/>
      <c r="J2" s="10" t="s">
        <v>98</v>
      </c>
      <c r="K2" s="10"/>
      <c r="L2" s="10"/>
      <c r="M2" s="6"/>
      <c r="N2" s="6"/>
    </row>
    <row r="3" spans="1:15" ht="25.5" customHeight="1" x14ac:dyDescent="0.2">
      <c r="A3" s="5" t="s">
        <v>1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  <c r="J3" s="5" t="s">
        <v>89</v>
      </c>
      <c r="K3" s="5" t="s">
        <v>90</v>
      </c>
      <c r="L3" s="5" t="s">
        <v>91</v>
      </c>
      <c r="M3" s="5" t="s">
        <v>2</v>
      </c>
      <c r="N3" s="5" t="s">
        <v>92</v>
      </c>
    </row>
    <row r="4" spans="1:15" ht="25.5" customHeight="1" x14ac:dyDescent="0.2">
      <c r="A4" s="1" t="s">
        <v>8</v>
      </c>
      <c r="B4" s="1" t="s">
        <v>40</v>
      </c>
      <c r="C4" s="1">
        <v>35</v>
      </c>
      <c r="D4" s="1" t="s">
        <v>79</v>
      </c>
      <c r="E4" s="1">
        <v>1</v>
      </c>
      <c r="F4" s="1" t="s">
        <v>39</v>
      </c>
      <c r="G4" s="1" t="s">
        <v>11</v>
      </c>
      <c r="H4" s="1">
        <v>1780</v>
      </c>
      <c r="J4" s="5" t="s">
        <v>97</v>
      </c>
      <c r="K4" s="1" t="s">
        <v>94</v>
      </c>
      <c r="L4" s="1">
        <v>8750</v>
      </c>
      <c r="M4" s="1">
        <v>0.78</v>
      </c>
      <c r="N4" s="1">
        <v>6825</v>
      </c>
    </row>
    <row r="5" spans="1:15" ht="25.5" customHeight="1" x14ac:dyDescent="0.2">
      <c r="A5" s="1" t="s">
        <v>13</v>
      </c>
      <c r="B5" s="1" t="s">
        <v>14</v>
      </c>
      <c r="C5" s="1" t="s">
        <v>18</v>
      </c>
      <c r="D5" s="1" t="s">
        <v>21</v>
      </c>
      <c r="E5" s="1">
        <v>1</v>
      </c>
      <c r="F5" s="1" t="s">
        <v>18</v>
      </c>
      <c r="G5" s="1" t="s">
        <v>11</v>
      </c>
      <c r="H5" s="1">
        <v>1490</v>
      </c>
      <c r="J5" s="5" t="s">
        <v>95</v>
      </c>
      <c r="K5" s="1" t="s">
        <v>96</v>
      </c>
      <c r="L5" s="1">
        <v>300</v>
      </c>
      <c r="M5" s="1">
        <v>1</v>
      </c>
      <c r="N5" s="1">
        <v>300</v>
      </c>
    </row>
    <row r="6" spans="1:15" ht="25.5" customHeight="1" x14ac:dyDescent="0.2">
      <c r="A6" s="5" t="s">
        <v>45</v>
      </c>
      <c r="C6" s="1"/>
      <c r="D6" s="1"/>
      <c r="E6" s="5">
        <v>2</v>
      </c>
      <c r="F6" s="1"/>
      <c r="G6" s="1"/>
      <c r="H6" s="5">
        <f>SUM(H4:H5)</f>
        <v>3270</v>
      </c>
      <c r="J6" s="5" t="s">
        <v>99</v>
      </c>
      <c r="K6" s="1" t="s">
        <v>100</v>
      </c>
      <c r="L6" s="7">
        <v>3.0000000000000001E-3</v>
      </c>
      <c r="M6" s="1">
        <v>1</v>
      </c>
      <c r="N6" s="1">
        <v>20.48</v>
      </c>
    </row>
    <row r="7" spans="1:15" ht="24.75" customHeight="1" x14ac:dyDescent="0.2">
      <c r="A7" s="5"/>
      <c r="B7" s="10" t="s">
        <v>80</v>
      </c>
      <c r="C7" s="10"/>
      <c r="D7" s="1"/>
      <c r="E7" s="5"/>
      <c r="F7" s="1"/>
      <c r="G7" s="1"/>
      <c r="H7" s="5"/>
      <c r="J7" s="5" t="s">
        <v>101</v>
      </c>
      <c r="K7" s="1" t="s">
        <v>100</v>
      </c>
      <c r="L7" s="8">
        <v>0.01</v>
      </c>
      <c r="M7" s="1">
        <v>1</v>
      </c>
      <c r="N7" s="1">
        <v>68.459999999999994</v>
      </c>
    </row>
    <row r="8" spans="1:15" ht="25.5" customHeight="1" x14ac:dyDescent="0.2">
      <c r="A8" s="1" t="s">
        <v>38</v>
      </c>
      <c r="B8" s="1"/>
      <c r="C8" s="1">
        <v>28</v>
      </c>
      <c r="D8" s="1" t="s">
        <v>79</v>
      </c>
      <c r="E8" s="1">
        <v>1</v>
      </c>
      <c r="F8" s="1" t="s">
        <v>39</v>
      </c>
      <c r="G8" s="1" t="s">
        <v>18</v>
      </c>
      <c r="H8" s="1">
        <v>960</v>
      </c>
      <c r="J8" s="5" t="s">
        <v>37</v>
      </c>
      <c r="N8" s="1">
        <v>590</v>
      </c>
    </row>
    <row r="9" spans="1:15" ht="25.5" customHeight="1" x14ac:dyDescent="0.2">
      <c r="A9" s="5" t="s">
        <v>45</v>
      </c>
      <c r="C9" s="1"/>
      <c r="D9" s="1"/>
      <c r="E9" s="5">
        <v>1</v>
      </c>
      <c r="F9" s="1"/>
      <c r="G9" s="1"/>
      <c r="H9" s="5">
        <f>SUM(H7:H8)</f>
        <v>960</v>
      </c>
      <c r="J9" s="5" t="s">
        <v>33</v>
      </c>
      <c r="K9" s="5"/>
      <c r="L9" s="5"/>
      <c r="M9" s="5"/>
      <c r="N9" s="5">
        <f>SUM(N4:N8)</f>
        <v>7803.94</v>
      </c>
    </row>
    <row r="10" spans="1:15" x14ac:dyDescent="0.2">
      <c r="A10" s="1"/>
      <c r="B10" s="1"/>
      <c r="C10" s="1"/>
      <c r="D10" s="1"/>
      <c r="E10" s="1"/>
      <c r="F10" s="1"/>
      <c r="G10" s="1"/>
      <c r="H10" s="1"/>
    </row>
    <row r="11" spans="1:15" x14ac:dyDescent="0.2">
      <c r="A11" s="2"/>
      <c r="B11" s="2"/>
      <c r="C11" s="2"/>
      <c r="D11" s="2"/>
      <c r="E11" s="2"/>
      <c r="F11" s="2"/>
      <c r="G11" s="1"/>
      <c r="H11" s="2"/>
    </row>
    <row r="12" spans="1:15" x14ac:dyDescent="0.2">
      <c r="A12" s="2"/>
      <c r="B12" s="1"/>
      <c r="C12" s="1"/>
      <c r="D12" s="1"/>
      <c r="E12" s="1"/>
      <c r="F12" s="1"/>
      <c r="G12" s="1"/>
      <c r="H12" s="2"/>
    </row>
    <row r="13" spans="1:15" x14ac:dyDescent="0.2">
      <c r="A13" s="5"/>
      <c r="B13" s="1"/>
      <c r="C13" s="1"/>
      <c r="D13" s="1"/>
      <c r="E13" s="5"/>
      <c r="F13" s="1"/>
      <c r="H13" s="5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5">
    <mergeCell ref="A1:H1"/>
    <mergeCell ref="B2:C2"/>
    <mergeCell ref="B7:C7"/>
    <mergeCell ref="J1:O1"/>
    <mergeCell ref="J2:L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15D8-A6D5-4CFB-A23D-59F3D50D0C1D}">
  <dimension ref="A1:I33"/>
  <sheetViews>
    <sheetView workbookViewId="0">
      <selection activeCell="H11" sqref="A2:H11"/>
    </sheetView>
  </sheetViews>
  <sheetFormatPr defaultRowHeight="14.25" x14ac:dyDescent="0.2"/>
  <cols>
    <col min="1" max="5" width="15.625" customWidth="1"/>
    <col min="6" max="6" width="31.5" customWidth="1"/>
    <col min="7" max="7" width="15.625" customWidth="1"/>
  </cols>
  <sheetData>
    <row r="1" spans="1:9" x14ac:dyDescent="0.2">
      <c r="A1" s="9" t="s">
        <v>52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62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53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11" t="s">
        <v>55</v>
      </c>
      <c r="B4" s="1">
        <v>0.5</v>
      </c>
      <c r="C4" s="1" t="s">
        <v>18</v>
      </c>
      <c r="D4" s="1" t="s">
        <v>18</v>
      </c>
      <c r="E4" s="2">
        <v>5</v>
      </c>
      <c r="F4" s="1" t="s">
        <v>56</v>
      </c>
      <c r="G4" s="1" t="s">
        <v>18</v>
      </c>
      <c r="H4" s="1">
        <v>65</v>
      </c>
    </row>
    <row r="5" spans="1:9" ht="25.5" customHeight="1" x14ac:dyDescent="0.2">
      <c r="A5" s="11"/>
      <c r="B5" s="1">
        <v>0.5</v>
      </c>
      <c r="C5" s="1" t="s">
        <v>18</v>
      </c>
      <c r="D5" s="1" t="s">
        <v>18</v>
      </c>
      <c r="E5" s="2">
        <v>5</v>
      </c>
      <c r="F5" s="1" t="s">
        <v>57</v>
      </c>
      <c r="G5" s="1" t="s">
        <v>18</v>
      </c>
      <c r="H5" s="1">
        <v>140</v>
      </c>
    </row>
    <row r="6" spans="1:9" ht="25.5" customHeight="1" x14ac:dyDescent="0.2">
      <c r="A6" s="11"/>
      <c r="B6" s="1">
        <v>0.55000000000000004</v>
      </c>
      <c r="C6" s="1" t="s">
        <v>18</v>
      </c>
      <c r="D6" s="1" t="s">
        <v>18</v>
      </c>
      <c r="E6" s="2">
        <v>5</v>
      </c>
      <c r="F6" s="1" t="s">
        <v>56</v>
      </c>
      <c r="G6" s="1" t="s">
        <v>18</v>
      </c>
      <c r="H6" s="1">
        <v>65</v>
      </c>
    </row>
    <row r="7" spans="1:9" ht="25.5" customHeight="1" x14ac:dyDescent="0.2">
      <c r="A7" s="11"/>
      <c r="B7" s="1">
        <v>0.6</v>
      </c>
      <c r="C7" s="1" t="s">
        <v>18</v>
      </c>
      <c r="D7" s="1" t="s">
        <v>18</v>
      </c>
      <c r="E7" s="2">
        <v>5</v>
      </c>
      <c r="F7" s="1" t="s">
        <v>56</v>
      </c>
      <c r="G7" s="1" t="s">
        <v>18</v>
      </c>
      <c r="H7" s="1">
        <v>65</v>
      </c>
    </row>
    <row r="8" spans="1:9" ht="25.5" customHeight="1" x14ac:dyDescent="0.2">
      <c r="A8" s="11"/>
      <c r="B8" s="1">
        <v>0.6</v>
      </c>
      <c r="C8" s="1" t="s">
        <v>18</v>
      </c>
      <c r="D8" s="1" t="s">
        <v>18</v>
      </c>
      <c r="E8" s="2">
        <v>5</v>
      </c>
      <c r="F8" s="1" t="s">
        <v>57</v>
      </c>
      <c r="G8" s="1" t="s">
        <v>18</v>
      </c>
      <c r="H8" s="1">
        <v>140</v>
      </c>
    </row>
    <row r="9" spans="1:9" ht="25.5" customHeight="1" x14ac:dyDescent="0.2">
      <c r="A9" s="11"/>
      <c r="B9" s="1">
        <v>0.65</v>
      </c>
      <c r="C9" s="1" t="s">
        <v>18</v>
      </c>
      <c r="D9" s="1" t="s">
        <v>18</v>
      </c>
      <c r="E9" s="2">
        <v>5</v>
      </c>
      <c r="F9" s="1" t="s">
        <v>56</v>
      </c>
      <c r="G9" s="1" t="s">
        <v>18</v>
      </c>
      <c r="H9" s="1">
        <v>65</v>
      </c>
    </row>
    <row r="10" spans="1:9" ht="25.5" customHeight="1" x14ac:dyDescent="0.2">
      <c r="A10" s="11"/>
      <c r="B10" s="1">
        <v>0.65</v>
      </c>
      <c r="C10" s="1" t="s">
        <v>18</v>
      </c>
      <c r="D10" s="1" t="s">
        <v>18</v>
      </c>
      <c r="E10" s="2">
        <v>5</v>
      </c>
      <c r="F10" s="1" t="s">
        <v>57</v>
      </c>
      <c r="G10" s="1" t="s">
        <v>18</v>
      </c>
      <c r="H10" s="1">
        <v>140</v>
      </c>
    </row>
    <row r="11" spans="1:9" ht="25.5" customHeight="1" x14ac:dyDescent="0.2">
      <c r="A11" s="5" t="s">
        <v>45</v>
      </c>
      <c r="B11" s="1"/>
      <c r="C11" s="1"/>
      <c r="D11" s="1"/>
      <c r="E11" s="5">
        <v>35</v>
      </c>
      <c r="F11" s="1"/>
      <c r="G11" s="1"/>
      <c r="H11" s="1">
        <f>SUM(H4:H10)</f>
        <v>680</v>
      </c>
    </row>
    <row r="12" spans="1:9" ht="25.5" customHeight="1" x14ac:dyDescent="0.2">
      <c r="A12" s="5"/>
      <c r="B12" s="1"/>
      <c r="C12" s="1"/>
      <c r="D12" s="1"/>
      <c r="E12" s="5"/>
      <c r="F12" s="1"/>
      <c r="G12" s="1"/>
      <c r="H12" s="1"/>
    </row>
    <row r="13" spans="1:9" ht="25.5" customHeight="1" x14ac:dyDescent="0.2">
      <c r="A13" s="5"/>
      <c r="B13" s="1"/>
      <c r="C13" s="1"/>
      <c r="D13" s="1"/>
      <c r="E13" s="5"/>
      <c r="F13" s="1"/>
      <c r="G13" s="1"/>
      <c r="H13" s="1"/>
    </row>
    <row r="14" spans="1:9" ht="25.5" customHeight="1" x14ac:dyDescent="0.2">
      <c r="A14" s="5"/>
      <c r="B14" s="1"/>
      <c r="C14" s="1"/>
      <c r="D14" s="1"/>
      <c r="E14" s="5"/>
      <c r="F14" s="1"/>
      <c r="G14" s="1"/>
      <c r="H14" s="1"/>
    </row>
    <row r="15" spans="1:9" x14ac:dyDescent="0.2">
      <c r="A15" s="1"/>
      <c r="B15" s="1"/>
      <c r="C15" s="1"/>
      <c r="D15" s="1"/>
      <c r="E15" s="1"/>
      <c r="F15" s="1"/>
      <c r="G15" s="1"/>
      <c r="H15" s="1"/>
    </row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3">
    <mergeCell ref="A1:H1"/>
    <mergeCell ref="B2:C2"/>
    <mergeCell ref="A4:A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DA2A-3A65-4152-9734-6C651BBDF713}">
  <dimension ref="A1:I33"/>
  <sheetViews>
    <sheetView workbookViewId="0">
      <selection activeCell="A2" sqref="A2:H6"/>
    </sheetView>
  </sheetViews>
  <sheetFormatPr defaultRowHeight="14.25" x14ac:dyDescent="0.2"/>
  <cols>
    <col min="1" max="5" width="15.625" customWidth="1"/>
    <col min="6" max="6" width="31.5" customWidth="1"/>
    <col min="7" max="7" width="23.75" customWidth="1"/>
  </cols>
  <sheetData>
    <row r="1" spans="1:9" x14ac:dyDescent="0.2">
      <c r="A1" s="9" t="s">
        <v>52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58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53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2" t="s">
        <v>8</v>
      </c>
      <c r="B4" s="1" t="s">
        <v>40</v>
      </c>
      <c r="C4" s="1">
        <v>35</v>
      </c>
      <c r="D4" s="1" t="s">
        <v>16</v>
      </c>
      <c r="E4" s="2">
        <v>1</v>
      </c>
      <c r="F4" s="1" t="s">
        <v>50</v>
      </c>
      <c r="G4" s="1" t="s">
        <v>63</v>
      </c>
      <c r="H4" s="1">
        <v>1820</v>
      </c>
    </row>
    <row r="5" spans="1:9" ht="25.5" customHeight="1" x14ac:dyDescent="0.2">
      <c r="A5" s="2" t="s">
        <v>60</v>
      </c>
      <c r="B5" s="1" t="s">
        <v>117</v>
      </c>
      <c r="C5" s="1" t="s">
        <v>18</v>
      </c>
      <c r="D5" s="1" t="s">
        <v>21</v>
      </c>
      <c r="E5" s="2">
        <v>1</v>
      </c>
      <c r="F5" s="1" t="s">
        <v>54</v>
      </c>
      <c r="G5" s="1" t="s">
        <v>59</v>
      </c>
      <c r="H5" s="1">
        <v>1450</v>
      </c>
    </row>
    <row r="6" spans="1:9" ht="25.5" customHeight="1" x14ac:dyDescent="0.2">
      <c r="A6" s="1" t="s">
        <v>55</v>
      </c>
      <c r="B6" s="1">
        <v>0.45</v>
      </c>
      <c r="C6" s="1" t="s">
        <v>18</v>
      </c>
      <c r="D6" s="1" t="s">
        <v>64</v>
      </c>
      <c r="E6" s="1">
        <v>5</v>
      </c>
      <c r="F6" s="1"/>
      <c r="G6" s="1" t="s">
        <v>56</v>
      </c>
      <c r="H6" s="1">
        <v>82</v>
      </c>
    </row>
    <row r="7" spans="1:9" ht="25.5" customHeight="1" x14ac:dyDescent="0.2">
      <c r="A7" s="5" t="s">
        <v>45</v>
      </c>
      <c r="B7" s="1"/>
      <c r="C7" s="1"/>
      <c r="D7" s="1"/>
      <c r="E7" s="2">
        <v>7</v>
      </c>
      <c r="F7" s="1"/>
      <c r="G7" s="1"/>
      <c r="H7" s="1">
        <f>SUM(H4:H6)</f>
        <v>3352</v>
      </c>
    </row>
    <row r="8" spans="1:9" ht="25.5" customHeight="1" x14ac:dyDescent="0.2">
      <c r="A8" s="2"/>
      <c r="B8" s="1"/>
      <c r="C8" s="1"/>
      <c r="D8" s="1"/>
      <c r="E8" s="2"/>
      <c r="F8" s="1"/>
      <c r="G8" s="1"/>
      <c r="H8" s="1"/>
    </row>
    <row r="9" spans="1:9" ht="25.5" customHeight="1" x14ac:dyDescent="0.2">
      <c r="A9" s="2"/>
      <c r="B9" s="1"/>
      <c r="C9" s="1"/>
      <c r="D9" s="1"/>
      <c r="E9" s="2"/>
      <c r="F9" s="1"/>
      <c r="G9" s="1"/>
      <c r="H9" s="1"/>
    </row>
    <row r="10" spans="1:9" ht="25.5" customHeight="1" x14ac:dyDescent="0.2">
      <c r="A10" s="2"/>
      <c r="B10" s="1"/>
      <c r="C10" s="1"/>
      <c r="D10" s="1"/>
      <c r="E10" s="2"/>
      <c r="F10" s="1"/>
      <c r="G10" s="1"/>
      <c r="H10" s="1"/>
    </row>
    <row r="11" spans="1:9" ht="25.5" customHeight="1" x14ac:dyDescent="0.2">
      <c r="A11" s="5"/>
      <c r="B11" s="1"/>
      <c r="C11" s="1"/>
      <c r="D11" s="1"/>
      <c r="E11" s="5"/>
      <c r="F11" s="1"/>
      <c r="G11" s="1"/>
      <c r="H11" s="1"/>
    </row>
    <row r="12" spans="1:9" x14ac:dyDescent="0.2">
      <c r="A12" s="5"/>
      <c r="B12" s="1"/>
      <c r="C12" s="1"/>
      <c r="D12" s="1"/>
      <c r="E12" s="5"/>
      <c r="F12" s="1"/>
      <c r="G12" s="1"/>
      <c r="H12" s="1"/>
    </row>
    <row r="13" spans="1:9" x14ac:dyDescent="0.2">
      <c r="A13" s="5"/>
      <c r="B13" s="1"/>
      <c r="C13" s="1"/>
      <c r="D13" s="1"/>
      <c r="E13" s="5"/>
      <c r="F13" s="1"/>
      <c r="G13" s="1"/>
      <c r="H13" s="1"/>
    </row>
    <row r="14" spans="1:9" x14ac:dyDescent="0.2">
      <c r="A14" s="5"/>
      <c r="B14" s="1"/>
      <c r="C14" s="1"/>
      <c r="D14" s="1"/>
      <c r="E14" s="5"/>
      <c r="F14" s="1"/>
      <c r="G14" s="1"/>
      <c r="H14" s="1"/>
    </row>
    <row r="15" spans="1:9" x14ac:dyDescent="0.2">
      <c r="A15" s="1"/>
      <c r="B15" s="1"/>
      <c r="C15" s="1"/>
      <c r="D15" s="1"/>
      <c r="E15" s="1"/>
      <c r="F15" s="1"/>
      <c r="G15" s="1"/>
      <c r="H15" s="1"/>
    </row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5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2">
    <mergeCell ref="A1:H1"/>
    <mergeCell ref="B2:C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CB17-045F-412C-9B1F-B110337EB481}">
  <dimension ref="A1:I33"/>
  <sheetViews>
    <sheetView workbookViewId="0">
      <selection activeCell="A2" sqref="A2:H10"/>
    </sheetView>
  </sheetViews>
  <sheetFormatPr defaultRowHeight="14.25" x14ac:dyDescent="0.2"/>
  <cols>
    <col min="1" max="5" width="15.625" customWidth="1"/>
    <col min="6" max="6" width="26.25" customWidth="1"/>
    <col min="7" max="7" width="29.5" customWidth="1"/>
  </cols>
  <sheetData>
    <row r="1" spans="1:9" x14ac:dyDescent="0.2">
      <c r="A1" s="9" t="s">
        <v>52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109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53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2" t="s">
        <v>8</v>
      </c>
      <c r="B4" s="1" t="s">
        <v>65</v>
      </c>
      <c r="C4" s="1">
        <v>35</v>
      </c>
      <c r="D4" s="1" t="s">
        <v>16</v>
      </c>
      <c r="E4" s="2">
        <v>1</v>
      </c>
      <c r="F4" s="1" t="s">
        <v>66</v>
      </c>
      <c r="G4" s="1" t="s">
        <v>59</v>
      </c>
      <c r="H4" s="1">
        <v>1880</v>
      </c>
    </row>
    <row r="5" spans="1:9" ht="25.5" customHeight="1" x14ac:dyDescent="0.2">
      <c r="A5" s="2" t="s">
        <v>67</v>
      </c>
      <c r="B5" s="1" t="s">
        <v>107</v>
      </c>
      <c r="C5" s="1">
        <v>35</v>
      </c>
      <c r="D5" s="1" t="s">
        <v>16</v>
      </c>
      <c r="E5" s="2">
        <v>1</v>
      </c>
      <c r="F5" s="1" t="s">
        <v>66</v>
      </c>
      <c r="G5" s="1" t="s">
        <v>59</v>
      </c>
      <c r="H5" s="1">
        <v>1380</v>
      </c>
    </row>
    <row r="6" spans="1:9" ht="25.5" customHeight="1" x14ac:dyDescent="0.2">
      <c r="A6" s="1" t="s">
        <v>110</v>
      </c>
      <c r="B6" s="1" t="s">
        <v>18</v>
      </c>
      <c r="C6" s="1" t="s">
        <v>18</v>
      </c>
      <c r="D6" s="1" t="s">
        <v>16</v>
      </c>
      <c r="E6" s="1">
        <v>1</v>
      </c>
      <c r="F6" s="1" t="s">
        <v>18</v>
      </c>
      <c r="G6" s="1" t="s">
        <v>59</v>
      </c>
      <c r="H6" s="1">
        <v>800</v>
      </c>
    </row>
    <row r="7" spans="1:9" ht="25.5" customHeight="1" x14ac:dyDescent="0.2">
      <c r="A7" s="2" t="s">
        <v>68</v>
      </c>
      <c r="B7" s="1" t="s">
        <v>72</v>
      </c>
      <c r="C7" s="1" t="s">
        <v>69</v>
      </c>
      <c r="D7" s="1" t="s">
        <v>70</v>
      </c>
      <c r="E7" s="2">
        <v>1</v>
      </c>
      <c r="F7" s="1" t="s">
        <v>71</v>
      </c>
      <c r="G7" s="1" t="s">
        <v>59</v>
      </c>
      <c r="H7" s="1">
        <v>1150</v>
      </c>
    </row>
    <row r="8" spans="1:9" ht="25.5" customHeight="1" x14ac:dyDescent="0.2">
      <c r="A8" s="2" t="s">
        <v>19</v>
      </c>
      <c r="B8" s="1" t="s">
        <v>108</v>
      </c>
      <c r="C8" s="1" t="s">
        <v>20</v>
      </c>
      <c r="D8" s="1" t="s">
        <v>21</v>
      </c>
      <c r="E8" s="2">
        <v>1</v>
      </c>
      <c r="F8" s="1" t="s">
        <v>71</v>
      </c>
      <c r="G8" s="1" t="s">
        <v>73</v>
      </c>
      <c r="H8" s="1">
        <v>1970</v>
      </c>
    </row>
    <row r="9" spans="1:9" ht="25.5" customHeight="1" x14ac:dyDescent="0.2">
      <c r="A9" s="2" t="s">
        <v>41</v>
      </c>
      <c r="B9" s="1" t="s">
        <v>74</v>
      </c>
      <c r="C9" s="1" t="s">
        <v>18</v>
      </c>
      <c r="D9" s="1" t="s">
        <v>18</v>
      </c>
      <c r="E9" s="2">
        <v>1</v>
      </c>
      <c r="F9" s="1" t="s">
        <v>18</v>
      </c>
      <c r="G9" s="1" t="s">
        <v>59</v>
      </c>
      <c r="H9" s="1">
        <v>1820</v>
      </c>
    </row>
    <row r="10" spans="1:9" ht="25.5" customHeight="1" x14ac:dyDescent="0.2">
      <c r="A10" s="2" t="s">
        <v>75</v>
      </c>
      <c r="B10" s="1" t="s">
        <v>76</v>
      </c>
      <c r="C10" s="1" t="s">
        <v>18</v>
      </c>
      <c r="D10" s="1" t="s">
        <v>18</v>
      </c>
      <c r="E10" s="2">
        <v>1</v>
      </c>
      <c r="F10" s="1" t="s">
        <v>18</v>
      </c>
      <c r="G10" s="1" t="s">
        <v>59</v>
      </c>
      <c r="H10" s="1">
        <v>3350</v>
      </c>
    </row>
    <row r="11" spans="1:9" ht="25.5" customHeight="1" x14ac:dyDescent="0.2">
      <c r="A11" s="5" t="s">
        <v>45</v>
      </c>
      <c r="C11" s="1"/>
      <c r="D11" s="1"/>
      <c r="E11" s="5">
        <v>7</v>
      </c>
      <c r="F11" s="1"/>
      <c r="G11" s="1"/>
      <c r="H11" s="1">
        <f>SUM(H4:H10)</f>
        <v>12350</v>
      </c>
    </row>
    <row r="12" spans="1:9" x14ac:dyDescent="0.2">
      <c r="A12" s="5"/>
      <c r="B12" s="1"/>
      <c r="C12" s="1"/>
      <c r="D12" s="1"/>
      <c r="E12" s="5"/>
      <c r="F12" s="1"/>
      <c r="G12" s="1"/>
      <c r="H12" s="1"/>
    </row>
    <row r="13" spans="1:9" x14ac:dyDescent="0.2">
      <c r="A13" s="5"/>
      <c r="B13" s="1"/>
      <c r="C13" s="1"/>
      <c r="D13" s="1"/>
      <c r="E13" s="5"/>
      <c r="F13" s="1"/>
      <c r="G13" s="1"/>
      <c r="H13" s="1"/>
    </row>
    <row r="14" spans="1:9" x14ac:dyDescent="0.2">
      <c r="A14" s="5"/>
      <c r="B14" s="1"/>
      <c r="C14" s="1"/>
      <c r="D14" s="1"/>
      <c r="E14" s="5"/>
      <c r="F14" s="1"/>
      <c r="G14" s="1"/>
      <c r="H14" s="1"/>
    </row>
    <row r="15" spans="1:9" x14ac:dyDescent="0.2">
      <c r="A15" s="1"/>
      <c r="B15" s="1"/>
      <c r="C15" s="1"/>
      <c r="D15" s="1"/>
      <c r="E15" s="1"/>
      <c r="F15" s="1"/>
      <c r="G15" s="1"/>
      <c r="H15" s="1"/>
    </row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2">
    <mergeCell ref="A1:H1"/>
    <mergeCell ref="B2:C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7DA2-A1E6-45AA-B5B2-59A141AC94AC}">
  <dimension ref="A1:I33"/>
  <sheetViews>
    <sheetView workbookViewId="0">
      <selection activeCell="A2" sqref="A2:H13"/>
    </sheetView>
  </sheetViews>
  <sheetFormatPr defaultRowHeight="14.25" x14ac:dyDescent="0.2"/>
  <cols>
    <col min="1" max="2" width="15.625" customWidth="1"/>
    <col min="3" max="3" width="10.25" customWidth="1"/>
    <col min="4" max="4" width="10.375" customWidth="1"/>
    <col min="5" max="5" width="8.625" customWidth="1"/>
    <col min="6" max="6" width="24.25" customWidth="1"/>
    <col min="7" max="7" width="18.625" customWidth="1"/>
  </cols>
  <sheetData>
    <row r="1" spans="1:9" x14ac:dyDescent="0.2">
      <c r="A1" s="9" t="s">
        <v>52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109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53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2" t="s">
        <v>60</v>
      </c>
      <c r="B4" s="1" t="s">
        <v>117</v>
      </c>
      <c r="C4" s="1" t="s">
        <v>18</v>
      </c>
      <c r="D4" s="1" t="s">
        <v>16</v>
      </c>
      <c r="E4" s="2">
        <v>1</v>
      </c>
      <c r="F4" s="1" t="s">
        <v>135</v>
      </c>
      <c r="G4" s="1" t="s">
        <v>11</v>
      </c>
      <c r="H4" s="1">
        <v>1450</v>
      </c>
    </row>
    <row r="5" spans="1:9" ht="25.5" customHeight="1" x14ac:dyDescent="0.2">
      <c r="A5" s="2" t="s">
        <v>111</v>
      </c>
      <c r="B5" s="1" t="s">
        <v>107</v>
      </c>
      <c r="C5" s="1">
        <v>35</v>
      </c>
      <c r="D5" s="1" t="s">
        <v>16</v>
      </c>
      <c r="E5" s="2">
        <v>2</v>
      </c>
      <c r="F5" s="1" t="s">
        <v>112</v>
      </c>
      <c r="G5" s="1" t="s">
        <v>113</v>
      </c>
      <c r="H5" s="1">
        <v>2820</v>
      </c>
    </row>
    <row r="6" spans="1:9" ht="25.5" customHeight="1" x14ac:dyDescent="0.2">
      <c r="A6" s="5" t="s">
        <v>114</v>
      </c>
      <c r="B6" s="1"/>
      <c r="C6" s="1"/>
      <c r="D6" s="1"/>
      <c r="E6" s="5">
        <f>SUM(E4:E5)</f>
        <v>3</v>
      </c>
      <c r="F6" s="1"/>
      <c r="G6" s="1"/>
      <c r="H6" s="1">
        <f ca="1">SUM(H4:H6)</f>
        <v>4270</v>
      </c>
    </row>
    <row r="7" spans="1:9" ht="25.5" customHeight="1" x14ac:dyDescent="0.2"/>
    <row r="8" spans="1:9" ht="25.5" customHeight="1" x14ac:dyDescent="0.2">
      <c r="A8" s="2"/>
      <c r="B8" s="1"/>
      <c r="C8" s="1"/>
      <c r="D8" s="1"/>
      <c r="E8" s="2"/>
      <c r="F8" s="1"/>
      <c r="G8" s="1"/>
      <c r="H8" s="1"/>
    </row>
    <row r="9" spans="1:9" ht="25.5" customHeight="1" x14ac:dyDescent="0.2">
      <c r="A9" s="2"/>
      <c r="B9" s="4" t="s">
        <v>80</v>
      </c>
      <c r="C9" s="4"/>
      <c r="D9" s="1"/>
      <c r="E9" s="2"/>
      <c r="F9" s="1"/>
      <c r="G9" s="1"/>
      <c r="H9" s="1"/>
    </row>
    <row r="10" spans="1:9" ht="25.5" customHeight="1" x14ac:dyDescent="0.2">
      <c r="A10" s="2" t="s">
        <v>111</v>
      </c>
      <c r="B10" s="1" t="s">
        <v>118</v>
      </c>
      <c r="C10" s="1">
        <v>35</v>
      </c>
      <c r="D10" s="1" t="s">
        <v>16</v>
      </c>
      <c r="E10" s="5">
        <v>2</v>
      </c>
      <c r="F10" s="1" t="s">
        <v>112</v>
      </c>
      <c r="G10" s="1" t="s">
        <v>18</v>
      </c>
      <c r="H10" s="1">
        <v>2300</v>
      </c>
    </row>
    <row r="11" spans="1:9" ht="25.5" customHeight="1" x14ac:dyDescent="0.2">
      <c r="A11" s="11" t="s">
        <v>23</v>
      </c>
      <c r="B11" s="1" t="s">
        <v>116</v>
      </c>
      <c r="C11" s="1" t="s">
        <v>18</v>
      </c>
      <c r="D11" s="1" t="s">
        <v>18</v>
      </c>
      <c r="E11" s="5">
        <v>2</v>
      </c>
      <c r="F11" s="1"/>
      <c r="G11" s="1"/>
      <c r="H11" s="1">
        <v>900</v>
      </c>
    </row>
    <row r="12" spans="1:9" ht="25.5" customHeight="1" x14ac:dyDescent="0.2">
      <c r="A12" s="11"/>
      <c r="B12" s="1" t="s">
        <v>24</v>
      </c>
      <c r="C12" s="1" t="s">
        <v>18</v>
      </c>
      <c r="D12" s="1" t="s">
        <v>18</v>
      </c>
      <c r="E12" s="5">
        <v>2</v>
      </c>
      <c r="F12" s="1"/>
      <c r="G12" s="1"/>
      <c r="H12" s="1">
        <v>1000</v>
      </c>
    </row>
    <row r="13" spans="1:9" ht="25.5" customHeight="1" x14ac:dyDescent="0.2">
      <c r="A13" s="5" t="s">
        <v>114</v>
      </c>
      <c r="B13" s="1"/>
      <c r="C13" s="1"/>
      <c r="D13" s="1"/>
      <c r="E13" s="5">
        <f>SUM(E10:E12)</f>
        <v>6</v>
      </c>
      <c r="F13" s="1"/>
      <c r="G13" s="1"/>
      <c r="H13" s="1">
        <f>SUM(H10:H12)</f>
        <v>4200</v>
      </c>
    </row>
    <row r="14" spans="1:9" ht="24.75" customHeight="1" x14ac:dyDescent="0.2"/>
    <row r="15" spans="1:9" ht="24" customHeight="1" x14ac:dyDescent="0.2"/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3">
    <mergeCell ref="A1:H1"/>
    <mergeCell ref="B2:C2"/>
    <mergeCell ref="A11:A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015B-EB47-43E0-A7DF-02956BDC208F}">
  <dimension ref="A1:I33"/>
  <sheetViews>
    <sheetView workbookViewId="0">
      <selection activeCell="A2" sqref="A2:H11"/>
    </sheetView>
  </sheetViews>
  <sheetFormatPr defaultRowHeight="14.25" x14ac:dyDescent="0.2"/>
  <cols>
    <col min="1" max="2" width="15.625" customWidth="1"/>
    <col min="3" max="3" width="10.25" customWidth="1"/>
    <col min="4" max="4" width="10.375" customWidth="1"/>
    <col min="5" max="5" width="8.625" customWidth="1"/>
    <col min="6" max="6" width="20.625" customWidth="1"/>
    <col min="7" max="7" width="21.5" customWidth="1"/>
  </cols>
  <sheetData>
    <row r="1" spans="1:9" x14ac:dyDescent="0.2">
      <c r="A1" s="9" t="s">
        <v>52</v>
      </c>
      <c r="B1" s="9"/>
      <c r="C1" s="9"/>
      <c r="D1" s="9"/>
      <c r="E1" s="9"/>
      <c r="F1" s="9"/>
      <c r="G1" s="9"/>
      <c r="H1" s="9"/>
    </row>
    <row r="2" spans="1:9" ht="20.25" customHeight="1" x14ac:dyDescent="0.2">
      <c r="A2" s="4" t="s">
        <v>141</v>
      </c>
      <c r="B2" s="10" t="s">
        <v>7</v>
      </c>
      <c r="C2" s="10"/>
      <c r="F2" s="1"/>
      <c r="G2" s="1"/>
      <c r="H2" s="1"/>
      <c r="I2" s="1"/>
    </row>
    <row r="3" spans="1:9" ht="25.5" customHeight="1" x14ac:dyDescent="0.2">
      <c r="A3" s="5" t="s">
        <v>53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25.5" customHeight="1" x14ac:dyDescent="0.2">
      <c r="A4" s="2" t="s">
        <v>120</v>
      </c>
      <c r="B4" s="1" t="s">
        <v>139</v>
      </c>
      <c r="C4" s="1" t="s">
        <v>121</v>
      </c>
      <c r="D4" s="1" t="s">
        <v>16</v>
      </c>
      <c r="E4" s="2">
        <v>2</v>
      </c>
      <c r="F4" s="1" t="s">
        <v>10</v>
      </c>
      <c r="G4" s="1" t="s">
        <v>113</v>
      </c>
      <c r="H4" s="1">
        <v>6000</v>
      </c>
    </row>
    <row r="5" spans="1:9" ht="25.5" customHeight="1" x14ac:dyDescent="0.2">
      <c r="A5" s="2" t="s">
        <v>19</v>
      </c>
      <c r="B5" s="1" t="s">
        <v>122</v>
      </c>
      <c r="C5" s="1" t="s">
        <v>69</v>
      </c>
      <c r="D5" s="1" t="s">
        <v>18</v>
      </c>
      <c r="E5" s="2">
        <v>1</v>
      </c>
      <c r="F5" s="1" t="s">
        <v>132</v>
      </c>
      <c r="G5" s="1" t="s">
        <v>128</v>
      </c>
      <c r="H5" s="1">
        <v>2060</v>
      </c>
    </row>
    <row r="6" spans="1:9" ht="25.5" customHeight="1" x14ac:dyDescent="0.2">
      <c r="A6" s="1" t="s">
        <v>123</v>
      </c>
      <c r="B6" s="1"/>
      <c r="C6" s="1" t="s">
        <v>124</v>
      </c>
      <c r="D6" s="1" t="s">
        <v>125</v>
      </c>
      <c r="E6" s="1">
        <v>1</v>
      </c>
      <c r="F6" s="1" t="s">
        <v>133</v>
      </c>
      <c r="G6" s="1" t="s">
        <v>129</v>
      </c>
      <c r="H6" s="1">
        <v>3000</v>
      </c>
    </row>
    <row r="7" spans="1:9" ht="25.5" customHeight="1" x14ac:dyDescent="0.2">
      <c r="A7" s="2" t="s">
        <v>126</v>
      </c>
      <c r="B7" s="1"/>
      <c r="C7" s="1" t="s">
        <v>18</v>
      </c>
      <c r="D7" s="1" t="s">
        <v>16</v>
      </c>
      <c r="E7" s="5">
        <v>1</v>
      </c>
      <c r="F7" s="1" t="s">
        <v>127</v>
      </c>
      <c r="G7" s="1" t="s">
        <v>11</v>
      </c>
      <c r="H7" s="1">
        <v>750</v>
      </c>
    </row>
    <row r="8" spans="1:9" ht="25.5" customHeight="1" x14ac:dyDescent="0.2">
      <c r="A8" s="2" t="s">
        <v>130</v>
      </c>
      <c r="B8" s="1" t="s">
        <v>131</v>
      </c>
      <c r="C8" s="1" t="s">
        <v>18</v>
      </c>
      <c r="D8" s="1" t="s">
        <v>134</v>
      </c>
      <c r="E8" s="2">
        <v>1</v>
      </c>
      <c r="F8" s="1" t="s">
        <v>136</v>
      </c>
      <c r="G8" s="1" t="s">
        <v>11</v>
      </c>
      <c r="H8" s="1">
        <v>1300</v>
      </c>
    </row>
    <row r="9" spans="1:9" ht="25.5" customHeight="1" x14ac:dyDescent="0.2">
      <c r="A9" s="2" t="s">
        <v>115</v>
      </c>
      <c r="B9" s="2" t="s">
        <v>119</v>
      </c>
      <c r="C9" s="2" t="s">
        <v>138</v>
      </c>
      <c r="D9" s="1" t="s">
        <v>18</v>
      </c>
      <c r="E9" s="2">
        <v>1</v>
      </c>
      <c r="F9" s="1" t="s">
        <v>137</v>
      </c>
      <c r="G9" s="1" t="s">
        <v>11</v>
      </c>
      <c r="H9" s="1">
        <v>2150</v>
      </c>
    </row>
    <row r="10" spans="1:9" ht="25.5" customHeight="1" x14ac:dyDescent="0.2">
      <c r="A10" s="5" t="s">
        <v>9</v>
      </c>
      <c r="B10" s="9" t="s">
        <v>140</v>
      </c>
      <c r="C10" s="9"/>
      <c r="D10" s="9"/>
      <c r="E10" s="9"/>
      <c r="F10" s="9"/>
      <c r="G10" s="9"/>
      <c r="H10" s="9"/>
    </row>
    <row r="11" spans="1:9" ht="25.5" customHeight="1" x14ac:dyDescent="0.2">
      <c r="A11" s="5" t="s">
        <v>114</v>
      </c>
      <c r="B11" s="1"/>
      <c r="C11" s="1"/>
      <c r="D11" s="1"/>
      <c r="E11" s="2"/>
      <c r="F11" s="1"/>
      <c r="G11" s="1"/>
      <c r="H11" s="5">
        <f>SUM(H4:H9)</f>
        <v>15260</v>
      </c>
    </row>
    <row r="12" spans="1:9" ht="25.5" customHeight="1" x14ac:dyDescent="0.2">
      <c r="A12" s="5"/>
      <c r="B12" s="1"/>
      <c r="C12" s="1"/>
      <c r="D12" s="1"/>
      <c r="E12" s="5"/>
      <c r="F12" s="1"/>
      <c r="G12" s="1"/>
      <c r="H12" s="1"/>
    </row>
    <row r="13" spans="1:9" ht="25.5" customHeight="1" x14ac:dyDescent="0.2">
      <c r="A13" s="5"/>
      <c r="B13" s="1"/>
      <c r="C13" s="1"/>
      <c r="D13" s="1"/>
      <c r="E13" s="5"/>
      <c r="F13" s="1"/>
      <c r="G13" s="1"/>
      <c r="H13" s="1"/>
    </row>
    <row r="14" spans="1:9" ht="25.5" customHeight="1" x14ac:dyDescent="0.2">
      <c r="A14" s="5"/>
      <c r="B14" s="1"/>
      <c r="C14" s="1"/>
      <c r="D14" s="1"/>
      <c r="E14" s="5"/>
      <c r="F14" s="1"/>
      <c r="G14" s="1"/>
      <c r="H14" s="1"/>
    </row>
    <row r="15" spans="1:9" x14ac:dyDescent="0.2">
      <c r="A15" s="5"/>
      <c r="B15" s="1"/>
      <c r="C15" s="1"/>
      <c r="D15" s="1"/>
      <c r="E15" s="5"/>
      <c r="F15" s="1"/>
      <c r="G15" s="1"/>
      <c r="H15" s="1"/>
    </row>
    <row r="16" spans="1:9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3">
    <mergeCell ref="A1:H1"/>
    <mergeCell ref="B2:C2"/>
    <mergeCell ref="B10:H10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A66C-2D29-4358-BD4E-86FCE2D77BA7}">
  <dimension ref="A1:I94"/>
  <sheetViews>
    <sheetView tabSelected="1" view="pageBreakPreview" topLeftCell="A31" zoomScale="60" zoomScaleNormal="100" workbookViewId="0">
      <selection activeCell="N59" sqref="N59"/>
    </sheetView>
  </sheetViews>
  <sheetFormatPr defaultRowHeight="14.25" x14ac:dyDescent="0.2"/>
  <cols>
    <col min="1" max="1" width="12.5" customWidth="1"/>
    <col min="2" max="2" width="13.625" customWidth="1"/>
    <col min="3" max="3" width="13.75" customWidth="1"/>
    <col min="4" max="4" width="12" customWidth="1"/>
    <col min="5" max="5" width="6.375" customWidth="1"/>
    <col min="6" max="6" width="24.25" customWidth="1"/>
    <col min="7" max="7" width="30.625" customWidth="1"/>
    <col min="8" max="8" width="7.875" customWidth="1"/>
  </cols>
  <sheetData>
    <row r="1" spans="1:9" x14ac:dyDescent="0.2">
      <c r="A1" s="9" t="s">
        <v>0</v>
      </c>
      <c r="B1" s="9"/>
      <c r="C1" s="9"/>
      <c r="D1" s="9"/>
      <c r="E1" s="9"/>
      <c r="F1" s="9"/>
      <c r="G1" s="9"/>
      <c r="H1" s="9"/>
    </row>
    <row r="2" spans="1:9" x14ac:dyDescent="0.2">
      <c r="A2" s="4" t="s">
        <v>36</v>
      </c>
      <c r="B2" s="10" t="s">
        <v>7</v>
      </c>
      <c r="C2" s="10"/>
      <c r="F2" s="1"/>
      <c r="G2" s="1"/>
      <c r="H2" s="1"/>
      <c r="I2" s="1"/>
    </row>
    <row r="3" spans="1:9" ht="18" customHeight="1" x14ac:dyDescent="0.2">
      <c r="A3" s="5" t="s">
        <v>1</v>
      </c>
      <c r="B3" s="5" t="s">
        <v>5</v>
      </c>
      <c r="C3" s="5" t="s">
        <v>12</v>
      </c>
      <c r="D3" s="5" t="s">
        <v>15</v>
      </c>
      <c r="E3" s="5" t="s">
        <v>2</v>
      </c>
      <c r="F3" s="5" t="s">
        <v>4</v>
      </c>
      <c r="G3" s="5" t="s">
        <v>9</v>
      </c>
      <c r="H3" s="5" t="s">
        <v>3</v>
      </c>
    </row>
    <row r="4" spans="1:9" ht="15.75" customHeight="1" x14ac:dyDescent="0.2">
      <c r="A4" s="1" t="s">
        <v>8</v>
      </c>
      <c r="B4" s="1" t="s">
        <v>6</v>
      </c>
      <c r="C4" s="1">
        <v>35</v>
      </c>
      <c r="D4" s="1" t="s">
        <v>16</v>
      </c>
      <c r="E4" s="1">
        <v>1</v>
      </c>
      <c r="F4" s="1" t="s">
        <v>10</v>
      </c>
      <c r="G4" s="1" t="s">
        <v>11</v>
      </c>
      <c r="H4" s="1">
        <v>1740</v>
      </c>
    </row>
    <row r="5" spans="1:9" ht="16.5" customHeight="1" x14ac:dyDescent="0.2">
      <c r="A5" s="1" t="s">
        <v>13</v>
      </c>
      <c r="B5" s="1" t="s">
        <v>117</v>
      </c>
      <c r="C5" s="1" t="s">
        <v>18</v>
      </c>
      <c r="D5" s="1" t="s">
        <v>16</v>
      </c>
      <c r="E5" s="1">
        <v>1</v>
      </c>
      <c r="F5" s="1" t="s">
        <v>18</v>
      </c>
      <c r="G5" s="1" t="s">
        <v>11</v>
      </c>
      <c r="H5" s="1">
        <v>1450</v>
      </c>
    </row>
    <row r="6" spans="1:9" ht="15" customHeight="1" x14ac:dyDescent="0.2">
      <c r="A6" s="1" t="s">
        <v>19</v>
      </c>
      <c r="B6" s="1" t="s">
        <v>22</v>
      </c>
      <c r="C6" s="1" t="s">
        <v>20</v>
      </c>
      <c r="D6" s="1" t="s">
        <v>21</v>
      </c>
      <c r="E6" s="1">
        <v>1</v>
      </c>
      <c r="F6" s="1" t="s">
        <v>28</v>
      </c>
      <c r="G6" s="1" t="s">
        <v>11</v>
      </c>
      <c r="H6" s="1">
        <v>1970</v>
      </c>
    </row>
    <row r="7" spans="1:9" x14ac:dyDescent="0.2">
      <c r="A7" s="9" t="s">
        <v>23</v>
      </c>
      <c r="B7" s="1" t="s">
        <v>24</v>
      </c>
      <c r="C7" s="1" t="s">
        <v>17</v>
      </c>
      <c r="D7" s="1" t="s">
        <v>17</v>
      </c>
      <c r="E7" s="1">
        <v>1</v>
      </c>
      <c r="F7" s="1" t="s">
        <v>17</v>
      </c>
      <c r="G7" s="1" t="s">
        <v>32</v>
      </c>
      <c r="H7" s="1">
        <v>490</v>
      </c>
    </row>
    <row r="8" spans="1:9" x14ac:dyDescent="0.2">
      <c r="A8" s="9"/>
      <c r="B8" s="1" t="s">
        <v>25</v>
      </c>
      <c r="C8" s="1" t="s">
        <v>17</v>
      </c>
      <c r="D8" s="1" t="s">
        <v>17</v>
      </c>
      <c r="E8" s="1">
        <v>1</v>
      </c>
      <c r="F8" s="1" t="s">
        <v>17</v>
      </c>
      <c r="G8" s="1" t="s">
        <v>31</v>
      </c>
      <c r="H8" s="1">
        <v>530</v>
      </c>
    </row>
    <row r="9" spans="1:9" x14ac:dyDescent="0.2">
      <c r="A9" s="9"/>
      <c r="B9" s="1" t="s">
        <v>26</v>
      </c>
      <c r="C9" s="1" t="s">
        <v>17</v>
      </c>
      <c r="D9" s="1" t="s">
        <v>17</v>
      </c>
      <c r="E9" s="1">
        <v>1</v>
      </c>
      <c r="F9" s="1" t="s">
        <v>17</v>
      </c>
      <c r="G9" s="1" t="s">
        <v>30</v>
      </c>
      <c r="H9" s="1">
        <v>590</v>
      </c>
    </row>
    <row r="10" spans="1:9" x14ac:dyDescent="0.2">
      <c r="A10" s="9"/>
      <c r="B10" s="1" t="s">
        <v>27</v>
      </c>
      <c r="C10" s="1" t="s">
        <v>17</v>
      </c>
      <c r="D10" s="1" t="s">
        <v>17</v>
      </c>
      <c r="E10" s="1">
        <v>1</v>
      </c>
      <c r="F10" s="1" t="s">
        <v>17</v>
      </c>
      <c r="G10" s="1" t="s">
        <v>29</v>
      </c>
      <c r="H10" s="1">
        <v>630</v>
      </c>
    </row>
    <row r="11" spans="1:9" ht="23.25" customHeight="1" x14ac:dyDescent="0.2">
      <c r="A11" s="2" t="s">
        <v>34</v>
      </c>
      <c r="B11" s="2" t="s">
        <v>35</v>
      </c>
      <c r="C11" s="2" t="s">
        <v>17</v>
      </c>
      <c r="D11" s="2" t="s">
        <v>17</v>
      </c>
      <c r="E11" s="2">
        <v>1</v>
      </c>
      <c r="F11" s="2" t="s">
        <v>17</v>
      </c>
      <c r="G11" s="1" t="s">
        <v>11</v>
      </c>
      <c r="H11" s="2">
        <v>4180</v>
      </c>
    </row>
    <row r="12" spans="1:9" s="1" customFormat="1" x14ac:dyDescent="0.2">
      <c r="A12" s="2" t="s">
        <v>37</v>
      </c>
      <c r="B12" s="1" t="s">
        <v>18</v>
      </c>
      <c r="C12" s="1" t="s">
        <v>18</v>
      </c>
      <c r="D12" s="1" t="s">
        <v>18</v>
      </c>
      <c r="E12" s="12"/>
      <c r="F12" s="1" t="s">
        <v>18</v>
      </c>
      <c r="G12" s="1" t="s">
        <v>18</v>
      </c>
      <c r="H12" s="2">
        <v>763</v>
      </c>
    </row>
    <row r="13" spans="1:9" ht="16.5" customHeight="1" x14ac:dyDescent="0.2">
      <c r="A13" s="5"/>
      <c r="B13" s="1"/>
      <c r="C13" s="1"/>
      <c r="D13" s="1"/>
      <c r="E13" s="5"/>
      <c r="F13" s="1"/>
      <c r="H13" s="5"/>
    </row>
    <row r="14" spans="1:9" x14ac:dyDescent="0.2">
      <c r="B14" s="13" t="s">
        <v>80</v>
      </c>
      <c r="C14" s="13"/>
      <c r="D14" s="13"/>
      <c r="E14" s="1"/>
      <c r="F14" s="1"/>
      <c r="G14" s="1"/>
      <c r="H14" s="1"/>
      <c r="I14" s="1"/>
    </row>
    <row r="15" spans="1:9" x14ac:dyDescent="0.2">
      <c r="A15" s="9" t="s">
        <v>55</v>
      </c>
      <c r="B15" s="1">
        <v>0.35</v>
      </c>
      <c r="C15" s="2" t="s">
        <v>69</v>
      </c>
      <c r="D15" s="1" t="s">
        <v>81</v>
      </c>
      <c r="E15" s="1">
        <v>5</v>
      </c>
      <c r="F15" s="2" t="s">
        <v>17</v>
      </c>
      <c r="G15" s="2" t="s">
        <v>17</v>
      </c>
      <c r="H15" s="1">
        <v>125</v>
      </c>
      <c r="I15" s="1"/>
    </row>
    <row r="16" spans="1:9" ht="15.75" customHeight="1" x14ac:dyDescent="0.2">
      <c r="A16" s="9"/>
      <c r="B16" s="1">
        <v>0.45</v>
      </c>
      <c r="C16" s="2" t="s">
        <v>82</v>
      </c>
      <c r="D16" s="1" t="s">
        <v>81</v>
      </c>
      <c r="E16" s="1">
        <v>5</v>
      </c>
      <c r="F16" s="2" t="s">
        <v>17</v>
      </c>
      <c r="G16" s="2" t="s">
        <v>17</v>
      </c>
      <c r="H16" s="1">
        <v>180</v>
      </c>
    </row>
    <row r="17" spans="1:9" ht="16.5" customHeight="1" x14ac:dyDescent="0.2">
      <c r="A17" s="9"/>
      <c r="B17" s="1">
        <v>0.75</v>
      </c>
      <c r="C17" s="2" t="s">
        <v>82</v>
      </c>
      <c r="D17" s="1" t="s">
        <v>83</v>
      </c>
      <c r="E17" s="1">
        <v>10</v>
      </c>
      <c r="F17" s="2" t="s">
        <v>17</v>
      </c>
      <c r="G17" s="2" t="s">
        <v>17</v>
      </c>
      <c r="H17" s="1">
        <v>300</v>
      </c>
    </row>
    <row r="18" spans="1:9" ht="14.25" customHeight="1" x14ac:dyDescent="0.2"/>
    <row r="19" spans="1:9" ht="16.5" customHeight="1" x14ac:dyDescent="0.2">
      <c r="A19" s="4" t="s">
        <v>84</v>
      </c>
      <c r="B19" s="10" t="s">
        <v>80</v>
      </c>
      <c r="C19" s="10"/>
      <c r="G19" s="1"/>
      <c r="H19" s="1"/>
      <c r="I19" s="1"/>
    </row>
    <row r="20" spans="1:9" x14ac:dyDescent="0.2">
      <c r="A20" s="5" t="s">
        <v>1</v>
      </c>
      <c r="B20" s="5" t="s">
        <v>5</v>
      </c>
      <c r="C20" s="5" t="s">
        <v>12</v>
      </c>
      <c r="D20" s="5" t="s">
        <v>15</v>
      </c>
      <c r="E20" s="5" t="s">
        <v>2</v>
      </c>
      <c r="F20" s="5" t="s">
        <v>4</v>
      </c>
      <c r="G20" s="5" t="s">
        <v>9</v>
      </c>
      <c r="H20" s="5" t="s">
        <v>3</v>
      </c>
    </row>
    <row r="21" spans="1:9" x14ac:dyDescent="0.2">
      <c r="A21" s="1" t="s">
        <v>85</v>
      </c>
      <c r="B21" s="1" t="s">
        <v>106</v>
      </c>
      <c r="C21" s="1">
        <v>80</v>
      </c>
      <c r="D21" s="1" t="s">
        <v>86</v>
      </c>
      <c r="E21" s="1">
        <v>2</v>
      </c>
      <c r="F21" s="1" t="s">
        <v>39</v>
      </c>
      <c r="G21" s="1" t="s">
        <v>11</v>
      </c>
      <c r="H21" s="1">
        <v>4320</v>
      </c>
    </row>
    <row r="22" spans="1:9" x14ac:dyDescent="0.2">
      <c r="A22" s="5"/>
      <c r="B22" s="11"/>
      <c r="C22" s="11"/>
      <c r="D22" s="11"/>
      <c r="E22" s="5"/>
      <c r="F22" s="11"/>
      <c r="G22" s="11"/>
      <c r="H22" s="5"/>
    </row>
    <row r="23" spans="1:9" x14ac:dyDescent="0.2">
      <c r="A23" s="1"/>
      <c r="B23" s="6" t="s">
        <v>102</v>
      </c>
      <c r="C23" s="6"/>
      <c r="D23" s="1"/>
      <c r="E23" s="1"/>
      <c r="F23" s="1"/>
      <c r="G23" s="1"/>
      <c r="H23" s="1"/>
    </row>
    <row r="24" spans="1:9" x14ac:dyDescent="0.2">
      <c r="A24" s="5" t="s">
        <v>34</v>
      </c>
      <c r="B24" s="1" t="s">
        <v>103</v>
      </c>
      <c r="C24" s="1" t="s">
        <v>18</v>
      </c>
      <c r="D24" s="1" t="s">
        <v>104</v>
      </c>
      <c r="E24" s="1">
        <v>2</v>
      </c>
      <c r="F24" s="1" t="s">
        <v>18</v>
      </c>
      <c r="G24" s="1" t="s">
        <v>18</v>
      </c>
      <c r="H24" s="2">
        <v>11200</v>
      </c>
    </row>
    <row r="25" spans="1:9" x14ac:dyDescent="0.2">
      <c r="A25" s="5" t="s">
        <v>37</v>
      </c>
      <c r="B25" s="3"/>
      <c r="C25" s="3"/>
      <c r="D25" s="3"/>
      <c r="E25" s="5"/>
      <c r="F25" s="3"/>
      <c r="G25" s="2" t="s">
        <v>105</v>
      </c>
      <c r="H25" s="2">
        <v>350</v>
      </c>
    </row>
    <row r="26" spans="1:9" x14ac:dyDescent="0.2">
      <c r="A26" s="5"/>
      <c r="B26" s="11"/>
      <c r="C26" s="11"/>
      <c r="D26" s="11"/>
      <c r="E26" s="5"/>
      <c r="F26" s="11"/>
      <c r="G26" s="11"/>
      <c r="H26" s="5"/>
    </row>
    <row r="27" spans="1:9" x14ac:dyDescent="0.2">
      <c r="A27" s="4" t="s">
        <v>47</v>
      </c>
      <c r="B27" s="10" t="s">
        <v>7</v>
      </c>
      <c r="C27" s="10"/>
      <c r="G27" s="1"/>
      <c r="H27" s="1"/>
    </row>
    <row r="28" spans="1:9" x14ac:dyDescent="0.2">
      <c r="A28" s="5" t="s">
        <v>1</v>
      </c>
      <c r="B28" s="5" t="s">
        <v>5</v>
      </c>
      <c r="C28" s="5" t="s">
        <v>12</v>
      </c>
      <c r="D28" s="5" t="s">
        <v>15</v>
      </c>
      <c r="E28" s="5" t="s">
        <v>2</v>
      </c>
      <c r="F28" s="5" t="s">
        <v>4</v>
      </c>
      <c r="G28" s="5" t="s">
        <v>9</v>
      </c>
      <c r="H28" s="5" t="s">
        <v>3</v>
      </c>
    </row>
    <row r="29" spans="1:9" x14ac:dyDescent="0.2">
      <c r="A29" s="1" t="s">
        <v>38</v>
      </c>
      <c r="B29" s="1" t="s">
        <v>46</v>
      </c>
      <c r="C29" s="1">
        <v>31</v>
      </c>
      <c r="D29" s="1" t="s">
        <v>16</v>
      </c>
      <c r="E29" s="1">
        <v>1</v>
      </c>
      <c r="F29" s="1" t="s">
        <v>39</v>
      </c>
      <c r="G29" s="1" t="s">
        <v>11</v>
      </c>
      <c r="H29" s="1">
        <v>750</v>
      </c>
    </row>
    <row r="30" spans="1:9" x14ac:dyDescent="0.2">
      <c r="A30" s="1" t="s">
        <v>8</v>
      </c>
      <c r="B30" s="1" t="s">
        <v>40</v>
      </c>
      <c r="C30" s="1">
        <v>31</v>
      </c>
      <c r="D30" s="1" t="s">
        <v>16</v>
      </c>
      <c r="E30" s="1">
        <v>1</v>
      </c>
      <c r="F30" s="1" t="s">
        <v>10</v>
      </c>
      <c r="G30" s="1" t="s">
        <v>11</v>
      </c>
      <c r="H30" s="1">
        <v>1720</v>
      </c>
    </row>
    <row r="31" spans="1:9" x14ac:dyDescent="0.2">
      <c r="A31" s="1" t="s">
        <v>41</v>
      </c>
      <c r="B31" s="1" t="s">
        <v>42</v>
      </c>
      <c r="C31" s="1"/>
      <c r="D31" s="1" t="s">
        <v>43</v>
      </c>
      <c r="E31" s="1">
        <v>1</v>
      </c>
      <c r="F31" s="1" t="s">
        <v>44</v>
      </c>
      <c r="G31" s="1" t="s">
        <v>11</v>
      </c>
      <c r="H31" s="1">
        <v>1820</v>
      </c>
    </row>
    <row r="32" spans="1:9" x14ac:dyDescent="0.2">
      <c r="A32" s="1" t="s">
        <v>37</v>
      </c>
      <c r="H32" s="1">
        <v>349</v>
      </c>
    </row>
    <row r="33" spans="1:8" x14ac:dyDescent="0.2">
      <c r="A33" s="5"/>
      <c r="B33" s="1"/>
      <c r="C33" s="1"/>
      <c r="D33" s="1"/>
      <c r="E33" s="5"/>
      <c r="F33" s="1"/>
      <c r="G33" s="1"/>
      <c r="H33" s="5"/>
    </row>
    <row r="34" spans="1:8" x14ac:dyDescent="0.2">
      <c r="A34" s="4" t="s">
        <v>61</v>
      </c>
      <c r="B34" s="10" t="s">
        <v>7</v>
      </c>
      <c r="C34" s="10"/>
      <c r="F34" s="1"/>
      <c r="G34" s="1"/>
      <c r="H34" s="1"/>
    </row>
    <row r="35" spans="1:8" x14ac:dyDescent="0.2">
      <c r="A35" s="5" t="s">
        <v>1</v>
      </c>
      <c r="B35" s="5" t="s">
        <v>5</v>
      </c>
      <c r="C35" s="5" t="s">
        <v>12</v>
      </c>
      <c r="D35" s="5" t="s">
        <v>15</v>
      </c>
      <c r="E35" s="5" t="s">
        <v>2</v>
      </c>
      <c r="F35" s="5" t="s">
        <v>4</v>
      </c>
      <c r="G35" s="5" t="s">
        <v>9</v>
      </c>
      <c r="H35" s="5" t="s">
        <v>3</v>
      </c>
    </row>
    <row r="36" spans="1:8" x14ac:dyDescent="0.2">
      <c r="A36" s="1" t="s">
        <v>38</v>
      </c>
      <c r="B36" s="1" t="s">
        <v>48</v>
      </c>
      <c r="C36" s="1">
        <v>31</v>
      </c>
      <c r="D36" s="1" t="s">
        <v>16</v>
      </c>
      <c r="E36" s="1">
        <v>1</v>
      </c>
      <c r="F36" s="1" t="s">
        <v>49</v>
      </c>
      <c r="G36" s="1" t="s">
        <v>11</v>
      </c>
      <c r="H36" s="1">
        <v>825</v>
      </c>
    </row>
    <row r="37" spans="1:8" x14ac:dyDescent="0.2">
      <c r="A37" s="1" t="s">
        <v>8</v>
      </c>
      <c r="B37" s="1" t="s">
        <v>40</v>
      </c>
      <c r="C37" s="1">
        <v>31</v>
      </c>
      <c r="D37" s="1" t="s">
        <v>16</v>
      </c>
      <c r="E37" s="1">
        <v>1</v>
      </c>
      <c r="F37" s="1" t="s">
        <v>51</v>
      </c>
      <c r="G37" s="1" t="s">
        <v>11</v>
      </c>
      <c r="H37" s="1">
        <v>1870</v>
      </c>
    </row>
    <row r="38" spans="1:8" x14ac:dyDescent="0.2">
      <c r="A38" s="2" t="s">
        <v>37</v>
      </c>
      <c r="B38" s="1"/>
      <c r="C38" s="1"/>
      <c r="D38" s="1"/>
      <c r="E38" s="5"/>
      <c r="F38" s="1"/>
      <c r="G38" s="1"/>
      <c r="H38" s="1">
        <v>249</v>
      </c>
    </row>
    <row r="40" spans="1:8" x14ac:dyDescent="0.2">
      <c r="A40" s="4" t="s">
        <v>77</v>
      </c>
      <c r="B40" s="10" t="s">
        <v>78</v>
      </c>
      <c r="C40" s="10"/>
      <c r="F40" s="1"/>
      <c r="G40" s="1"/>
      <c r="H40" s="1"/>
    </row>
    <row r="41" spans="1:8" x14ac:dyDescent="0.2">
      <c r="A41" s="5" t="s">
        <v>1</v>
      </c>
      <c r="B41" s="5" t="s">
        <v>5</v>
      </c>
      <c r="C41" s="5" t="s">
        <v>12</v>
      </c>
      <c r="D41" s="5" t="s">
        <v>15</v>
      </c>
      <c r="E41" s="5" t="s">
        <v>2</v>
      </c>
      <c r="F41" s="5" t="s">
        <v>4</v>
      </c>
      <c r="G41" s="5" t="s">
        <v>9</v>
      </c>
      <c r="H41" s="5" t="s">
        <v>3</v>
      </c>
    </row>
    <row r="42" spans="1:8" x14ac:dyDescent="0.2">
      <c r="A42" s="1" t="s">
        <v>8</v>
      </c>
      <c r="B42" s="1" t="s">
        <v>40</v>
      </c>
      <c r="C42" s="1">
        <v>35</v>
      </c>
      <c r="D42" s="1" t="s">
        <v>79</v>
      </c>
      <c r="E42" s="1">
        <v>1</v>
      </c>
      <c r="F42" s="1" t="s">
        <v>39</v>
      </c>
      <c r="G42" s="1" t="s">
        <v>11</v>
      </c>
      <c r="H42" s="1">
        <v>1780</v>
      </c>
    </row>
    <row r="43" spans="1:8" x14ac:dyDescent="0.2">
      <c r="A43" s="1" t="s">
        <v>13</v>
      </c>
      <c r="B43" s="1" t="s">
        <v>14</v>
      </c>
      <c r="C43" s="1" t="s">
        <v>18</v>
      </c>
      <c r="D43" s="1" t="s">
        <v>21</v>
      </c>
      <c r="E43" s="1">
        <v>1</v>
      </c>
      <c r="F43" s="1" t="s">
        <v>18</v>
      </c>
      <c r="G43" s="1" t="s">
        <v>11</v>
      </c>
      <c r="H43" s="1">
        <v>1490</v>
      </c>
    </row>
    <row r="44" spans="1:8" x14ac:dyDescent="0.2">
      <c r="A44" s="5"/>
      <c r="C44" s="1"/>
      <c r="D44" s="1"/>
      <c r="E44" s="5"/>
      <c r="F44" s="1"/>
      <c r="G44" s="1"/>
      <c r="H44" s="5"/>
    </row>
    <row r="45" spans="1:8" x14ac:dyDescent="0.2">
      <c r="A45" s="5"/>
      <c r="B45" s="10" t="s">
        <v>80</v>
      </c>
      <c r="C45" s="10"/>
      <c r="D45" s="1"/>
      <c r="E45" s="5"/>
      <c r="F45" s="1"/>
      <c r="G45" s="1"/>
      <c r="H45" s="5"/>
    </row>
    <row r="46" spans="1:8" x14ac:dyDescent="0.2">
      <c r="A46" s="1" t="s">
        <v>38</v>
      </c>
      <c r="B46" s="1"/>
      <c r="C46" s="1">
        <v>28</v>
      </c>
      <c r="D46" s="1" t="s">
        <v>79</v>
      </c>
      <c r="E46" s="1">
        <v>1</v>
      </c>
      <c r="F46" s="1" t="s">
        <v>39</v>
      </c>
      <c r="G46" s="1" t="s">
        <v>18</v>
      </c>
      <c r="H46" s="1">
        <v>960</v>
      </c>
    </row>
    <row r="47" spans="1:8" x14ac:dyDescent="0.2">
      <c r="A47" s="5"/>
      <c r="C47" s="1"/>
      <c r="D47" s="1"/>
      <c r="E47" s="5">
        <v>1</v>
      </c>
      <c r="F47" s="1"/>
      <c r="G47" s="1"/>
      <c r="H47" s="5"/>
    </row>
    <row r="49" spans="1:8" x14ac:dyDescent="0.2">
      <c r="A49" s="4" t="s">
        <v>62</v>
      </c>
      <c r="B49" s="10" t="s">
        <v>7</v>
      </c>
      <c r="C49" s="10"/>
      <c r="F49" s="1"/>
      <c r="G49" s="1"/>
      <c r="H49" s="1"/>
    </row>
    <row r="50" spans="1:8" x14ac:dyDescent="0.2">
      <c r="A50" s="5" t="s">
        <v>53</v>
      </c>
      <c r="B50" s="5" t="s">
        <v>5</v>
      </c>
      <c r="C50" s="5" t="s">
        <v>12</v>
      </c>
      <c r="D50" s="5" t="s">
        <v>15</v>
      </c>
      <c r="E50" s="5" t="s">
        <v>2</v>
      </c>
      <c r="F50" s="5" t="s">
        <v>4</v>
      </c>
      <c r="G50" s="5" t="s">
        <v>9</v>
      </c>
      <c r="H50" s="5" t="s">
        <v>3</v>
      </c>
    </row>
    <row r="51" spans="1:8" x14ac:dyDescent="0.2">
      <c r="A51" s="11" t="s">
        <v>55</v>
      </c>
      <c r="B51" s="1">
        <v>0.5</v>
      </c>
      <c r="C51" s="1" t="s">
        <v>18</v>
      </c>
      <c r="D51" s="1" t="s">
        <v>18</v>
      </c>
      <c r="E51" s="2">
        <v>5</v>
      </c>
      <c r="F51" s="1" t="s">
        <v>56</v>
      </c>
      <c r="G51" s="1" t="s">
        <v>18</v>
      </c>
      <c r="H51" s="1">
        <v>65</v>
      </c>
    </row>
    <row r="52" spans="1:8" x14ac:dyDescent="0.2">
      <c r="A52" s="11"/>
      <c r="B52" s="1">
        <v>0.5</v>
      </c>
      <c r="C52" s="1" t="s">
        <v>18</v>
      </c>
      <c r="D52" s="1" t="s">
        <v>18</v>
      </c>
      <c r="E52" s="2">
        <v>5</v>
      </c>
      <c r="F52" s="1" t="s">
        <v>57</v>
      </c>
      <c r="G52" s="1" t="s">
        <v>18</v>
      </c>
      <c r="H52" s="1">
        <v>140</v>
      </c>
    </row>
    <row r="53" spans="1:8" x14ac:dyDescent="0.2">
      <c r="A53" s="11"/>
      <c r="B53" s="1">
        <v>0.55000000000000004</v>
      </c>
      <c r="C53" s="1" t="s">
        <v>18</v>
      </c>
      <c r="D53" s="1" t="s">
        <v>18</v>
      </c>
      <c r="E53" s="2">
        <v>5</v>
      </c>
      <c r="F53" s="1" t="s">
        <v>56</v>
      </c>
      <c r="G53" s="1" t="s">
        <v>18</v>
      </c>
      <c r="H53" s="1">
        <v>65</v>
      </c>
    </row>
    <row r="54" spans="1:8" x14ac:dyDescent="0.2">
      <c r="A54" s="11"/>
      <c r="B54" s="1">
        <v>0.6</v>
      </c>
      <c r="C54" s="1" t="s">
        <v>18</v>
      </c>
      <c r="D54" s="1" t="s">
        <v>18</v>
      </c>
      <c r="E54" s="2">
        <v>5</v>
      </c>
      <c r="F54" s="1" t="s">
        <v>56</v>
      </c>
      <c r="G54" s="1" t="s">
        <v>18</v>
      </c>
      <c r="H54" s="1">
        <v>65</v>
      </c>
    </row>
    <row r="55" spans="1:8" x14ac:dyDescent="0.2">
      <c r="A55" s="11"/>
      <c r="B55" s="1">
        <v>0.6</v>
      </c>
      <c r="C55" s="1" t="s">
        <v>18</v>
      </c>
      <c r="D55" s="1" t="s">
        <v>18</v>
      </c>
      <c r="E55" s="2">
        <v>5</v>
      </c>
      <c r="F55" s="1" t="s">
        <v>57</v>
      </c>
      <c r="G55" s="1" t="s">
        <v>18</v>
      </c>
      <c r="H55" s="1">
        <v>140</v>
      </c>
    </row>
    <row r="56" spans="1:8" x14ac:dyDescent="0.2">
      <c r="A56" s="11"/>
      <c r="B56" s="1">
        <v>0.65</v>
      </c>
      <c r="C56" s="1" t="s">
        <v>18</v>
      </c>
      <c r="D56" s="1" t="s">
        <v>18</v>
      </c>
      <c r="E56" s="2">
        <v>5</v>
      </c>
      <c r="F56" s="1" t="s">
        <v>56</v>
      </c>
      <c r="G56" s="1" t="s">
        <v>18</v>
      </c>
      <c r="H56" s="1">
        <v>65</v>
      </c>
    </row>
    <row r="57" spans="1:8" x14ac:dyDescent="0.2">
      <c r="A57" s="11"/>
      <c r="B57" s="1">
        <v>0.65</v>
      </c>
      <c r="C57" s="1" t="s">
        <v>18</v>
      </c>
      <c r="D57" s="1" t="s">
        <v>18</v>
      </c>
      <c r="E57" s="2">
        <v>5</v>
      </c>
      <c r="F57" s="1" t="s">
        <v>57</v>
      </c>
      <c r="G57" s="1" t="s">
        <v>18</v>
      </c>
      <c r="H57" s="1">
        <v>140</v>
      </c>
    </row>
    <row r="58" spans="1:8" x14ac:dyDescent="0.2">
      <c r="A58" s="5"/>
      <c r="B58" s="1"/>
      <c r="C58" s="1"/>
      <c r="D58" s="1"/>
      <c r="E58" s="5"/>
      <c r="F58" s="1"/>
      <c r="G58" s="1"/>
      <c r="H58" s="1"/>
    </row>
    <row r="60" spans="1:8" x14ac:dyDescent="0.2">
      <c r="A60" s="4" t="s">
        <v>58</v>
      </c>
      <c r="B60" s="10" t="s">
        <v>7</v>
      </c>
      <c r="C60" s="10"/>
      <c r="F60" s="1"/>
      <c r="G60" s="1"/>
      <c r="H60" s="1"/>
    </row>
    <row r="61" spans="1:8" x14ac:dyDescent="0.2">
      <c r="A61" s="5" t="s">
        <v>53</v>
      </c>
      <c r="B61" s="5" t="s">
        <v>5</v>
      </c>
      <c r="C61" s="5" t="s">
        <v>12</v>
      </c>
      <c r="D61" s="5" t="s">
        <v>15</v>
      </c>
      <c r="E61" s="5" t="s">
        <v>2</v>
      </c>
      <c r="F61" s="5" t="s">
        <v>4</v>
      </c>
      <c r="G61" s="5" t="s">
        <v>9</v>
      </c>
      <c r="H61" s="5" t="s">
        <v>3</v>
      </c>
    </row>
    <row r="62" spans="1:8" x14ac:dyDescent="0.2">
      <c r="A62" s="2" t="s">
        <v>8</v>
      </c>
      <c r="B62" s="1" t="s">
        <v>40</v>
      </c>
      <c r="C62" s="1">
        <v>35</v>
      </c>
      <c r="D62" s="1" t="s">
        <v>16</v>
      </c>
      <c r="E62" s="2">
        <v>1</v>
      </c>
      <c r="F62" s="1" t="s">
        <v>50</v>
      </c>
      <c r="G62" s="1" t="s">
        <v>63</v>
      </c>
      <c r="H62" s="1">
        <v>1820</v>
      </c>
    </row>
    <row r="63" spans="1:8" x14ac:dyDescent="0.2">
      <c r="A63" s="2" t="s">
        <v>60</v>
      </c>
      <c r="B63" s="1" t="s">
        <v>117</v>
      </c>
      <c r="C63" s="1" t="s">
        <v>18</v>
      </c>
      <c r="D63" s="1" t="s">
        <v>21</v>
      </c>
      <c r="E63" s="2">
        <v>1</v>
      </c>
      <c r="F63" s="1" t="s">
        <v>54</v>
      </c>
      <c r="G63" s="1" t="s">
        <v>59</v>
      </c>
      <c r="H63" s="1">
        <v>1450</v>
      </c>
    </row>
    <row r="64" spans="1:8" x14ac:dyDescent="0.2">
      <c r="A64" s="1" t="s">
        <v>55</v>
      </c>
      <c r="B64" s="1">
        <v>0.45</v>
      </c>
      <c r="C64" s="1" t="s">
        <v>18</v>
      </c>
      <c r="D64" s="1" t="s">
        <v>64</v>
      </c>
      <c r="E64" s="1">
        <v>5</v>
      </c>
      <c r="F64" s="1"/>
      <c r="G64" s="1" t="s">
        <v>56</v>
      </c>
      <c r="H64" s="1">
        <v>82</v>
      </c>
    </row>
    <row r="66" spans="1:8" x14ac:dyDescent="0.2">
      <c r="A66" s="4" t="s">
        <v>109</v>
      </c>
      <c r="B66" s="10" t="s">
        <v>7</v>
      </c>
      <c r="C66" s="10"/>
      <c r="F66" s="1"/>
      <c r="G66" s="1"/>
      <c r="H66" s="1"/>
    </row>
    <row r="67" spans="1:8" x14ac:dyDescent="0.2">
      <c r="A67" s="5" t="s">
        <v>53</v>
      </c>
      <c r="B67" s="5" t="s">
        <v>5</v>
      </c>
      <c r="C67" s="5" t="s">
        <v>12</v>
      </c>
      <c r="D67" s="5" t="s">
        <v>15</v>
      </c>
      <c r="E67" s="5" t="s">
        <v>2</v>
      </c>
      <c r="F67" s="5" t="s">
        <v>4</v>
      </c>
      <c r="G67" s="5" t="s">
        <v>9</v>
      </c>
      <c r="H67" s="5" t="s">
        <v>3</v>
      </c>
    </row>
    <row r="68" spans="1:8" x14ac:dyDescent="0.2">
      <c r="A68" s="2" t="s">
        <v>8</v>
      </c>
      <c r="B68" s="1" t="s">
        <v>65</v>
      </c>
      <c r="C68" s="1">
        <v>35</v>
      </c>
      <c r="D68" s="1" t="s">
        <v>16</v>
      </c>
      <c r="E68" s="2">
        <v>1</v>
      </c>
      <c r="F68" s="1" t="s">
        <v>66</v>
      </c>
      <c r="G68" s="1" t="s">
        <v>59</v>
      </c>
      <c r="H68" s="1">
        <v>1880</v>
      </c>
    </row>
    <row r="69" spans="1:8" x14ac:dyDescent="0.2">
      <c r="A69" s="2" t="s">
        <v>67</v>
      </c>
      <c r="B69" s="1" t="s">
        <v>107</v>
      </c>
      <c r="C69" s="1">
        <v>35</v>
      </c>
      <c r="D69" s="1" t="s">
        <v>16</v>
      </c>
      <c r="E69" s="2">
        <v>1</v>
      </c>
      <c r="F69" s="1" t="s">
        <v>66</v>
      </c>
      <c r="G69" s="1" t="s">
        <v>59</v>
      </c>
      <c r="H69" s="1">
        <v>1380</v>
      </c>
    </row>
    <row r="70" spans="1:8" x14ac:dyDescent="0.2">
      <c r="A70" s="1" t="s">
        <v>110</v>
      </c>
      <c r="B70" s="1" t="s">
        <v>18</v>
      </c>
      <c r="C70" s="1" t="s">
        <v>18</v>
      </c>
      <c r="D70" s="1" t="s">
        <v>16</v>
      </c>
      <c r="E70" s="1">
        <v>1</v>
      </c>
      <c r="F70" s="1" t="s">
        <v>18</v>
      </c>
      <c r="G70" s="1" t="s">
        <v>59</v>
      </c>
      <c r="H70" s="1">
        <v>800</v>
      </c>
    </row>
    <row r="71" spans="1:8" x14ac:dyDescent="0.2">
      <c r="A71" s="2" t="s">
        <v>68</v>
      </c>
      <c r="B71" s="1" t="s">
        <v>72</v>
      </c>
      <c r="C71" s="1" t="s">
        <v>69</v>
      </c>
      <c r="D71" s="1" t="s">
        <v>70</v>
      </c>
      <c r="E71" s="2">
        <v>1</v>
      </c>
      <c r="F71" s="1" t="s">
        <v>71</v>
      </c>
      <c r="G71" s="1" t="s">
        <v>59</v>
      </c>
      <c r="H71" s="1">
        <v>1150</v>
      </c>
    </row>
    <row r="72" spans="1:8" x14ac:dyDescent="0.2">
      <c r="A72" s="2" t="s">
        <v>19</v>
      </c>
      <c r="B72" s="1" t="s">
        <v>108</v>
      </c>
      <c r="C72" s="1" t="s">
        <v>20</v>
      </c>
      <c r="D72" s="1" t="s">
        <v>21</v>
      </c>
      <c r="E72" s="2">
        <v>1</v>
      </c>
      <c r="F72" s="1" t="s">
        <v>71</v>
      </c>
      <c r="G72" s="1" t="s">
        <v>73</v>
      </c>
      <c r="H72" s="1">
        <v>1970</v>
      </c>
    </row>
    <row r="73" spans="1:8" x14ac:dyDescent="0.2">
      <c r="A73" s="2" t="s">
        <v>41</v>
      </c>
      <c r="B73" s="1" t="s">
        <v>74</v>
      </c>
      <c r="C73" s="1" t="s">
        <v>18</v>
      </c>
      <c r="D73" s="1" t="s">
        <v>18</v>
      </c>
      <c r="E73" s="2">
        <v>1</v>
      </c>
      <c r="F73" s="1" t="s">
        <v>18</v>
      </c>
      <c r="G73" s="1" t="s">
        <v>59</v>
      </c>
      <c r="H73" s="1">
        <v>1820</v>
      </c>
    </row>
    <row r="74" spans="1:8" x14ac:dyDescent="0.2">
      <c r="A74" s="2" t="s">
        <v>75</v>
      </c>
      <c r="B74" s="1" t="s">
        <v>76</v>
      </c>
      <c r="C74" s="1" t="s">
        <v>18</v>
      </c>
      <c r="D74" s="1" t="s">
        <v>18</v>
      </c>
      <c r="E74" s="2">
        <v>1</v>
      </c>
      <c r="F74" s="1" t="s">
        <v>18</v>
      </c>
      <c r="G74" s="1" t="s">
        <v>59</v>
      </c>
      <c r="H74" s="1">
        <v>3350</v>
      </c>
    </row>
    <row r="76" spans="1:8" x14ac:dyDescent="0.2">
      <c r="A76" s="4" t="s">
        <v>141</v>
      </c>
      <c r="B76" s="10" t="s">
        <v>7</v>
      </c>
      <c r="C76" s="10"/>
      <c r="F76" s="1"/>
      <c r="G76" s="1"/>
      <c r="H76" s="1"/>
    </row>
    <row r="77" spans="1:8" x14ac:dyDescent="0.2">
      <c r="A77" s="5" t="s">
        <v>53</v>
      </c>
      <c r="B77" s="5" t="s">
        <v>5</v>
      </c>
      <c r="C77" s="5" t="s">
        <v>12</v>
      </c>
      <c r="D77" s="5" t="s">
        <v>15</v>
      </c>
      <c r="E77" s="5" t="s">
        <v>2</v>
      </c>
      <c r="F77" s="5" t="s">
        <v>4</v>
      </c>
      <c r="G77" s="5" t="s">
        <v>9</v>
      </c>
      <c r="H77" s="5" t="s">
        <v>3</v>
      </c>
    </row>
    <row r="78" spans="1:8" x14ac:dyDescent="0.2">
      <c r="A78" s="2" t="s">
        <v>60</v>
      </c>
      <c r="B78" s="1" t="s">
        <v>117</v>
      </c>
      <c r="C78" s="1" t="s">
        <v>18</v>
      </c>
      <c r="D78" s="1" t="s">
        <v>16</v>
      </c>
      <c r="E78" s="2">
        <v>1</v>
      </c>
      <c r="F78" s="1" t="s">
        <v>135</v>
      </c>
      <c r="G78" s="1" t="s">
        <v>11</v>
      </c>
      <c r="H78" s="1">
        <v>1450</v>
      </c>
    </row>
    <row r="79" spans="1:8" x14ac:dyDescent="0.2">
      <c r="A79" s="2" t="s">
        <v>111</v>
      </c>
      <c r="B79" s="1" t="s">
        <v>107</v>
      </c>
      <c r="C79" s="1">
        <v>35</v>
      </c>
      <c r="D79" s="1" t="s">
        <v>16</v>
      </c>
      <c r="E79" s="2">
        <v>2</v>
      </c>
      <c r="F79" s="1" t="s">
        <v>112</v>
      </c>
      <c r="G79" s="1" t="s">
        <v>113</v>
      </c>
      <c r="H79" s="1">
        <v>2820</v>
      </c>
    </row>
    <row r="80" spans="1:8" x14ac:dyDescent="0.2">
      <c r="A80" s="5"/>
      <c r="B80" s="1"/>
      <c r="C80" s="1"/>
      <c r="D80" s="1"/>
      <c r="E80" s="5"/>
      <c r="F80" s="1"/>
      <c r="G80" s="1"/>
      <c r="H80" s="1"/>
    </row>
    <row r="81" spans="1:8" x14ac:dyDescent="0.2">
      <c r="A81" s="2"/>
      <c r="B81" s="4" t="s">
        <v>80</v>
      </c>
      <c r="C81" s="4"/>
      <c r="D81" s="1"/>
      <c r="E81" s="2"/>
      <c r="F81" s="1"/>
      <c r="G81" s="1"/>
      <c r="H81" s="1"/>
    </row>
    <row r="82" spans="1:8" x14ac:dyDescent="0.2">
      <c r="A82" s="2" t="s">
        <v>111</v>
      </c>
      <c r="B82" s="1" t="s">
        <v>118</v>
      </c>
      <c r="C82" s="1">
        <v>35</v>
      </c>
      <c r="D82" s="1" t="s">
        <v>16</v>
      </c>
      <c r="E82" s="5">
        <v>2</v>
      </c>
      <c r="F82" s="1" t="s">
        <v>112</v>
      </c>
      <c r="G82" s="1" t="s">
        <v>18</v>
      </c>
      <c r="H82" s="1">
        <v>2300</v>
      </c>
    </row>
    <row r="83" spans="1:8" x14ac:dyDescent="0.2">
      <c r="A83" s="11" t="s">
        <v>23</v>
      </c>
      <c r="B83" s="1" t="s">
        <v>116</v>
      </c>
      <c r="C83" s="1" t="s">
        <v>18</v>
      </c>
      <c r="D83" s="1" t="s">
        <v>18</v>
      </c>
      <c r="E83" s="5">
        <v>2</v>
      </c>
      <c r="F83" s="1"/>
      <c r="G83" s="1"/>
      <c r="H83" s="1">
        <v>900</v>
      </c>
    </row>
    <row r="84" spans="1:8" x14ac:dyDescent="0.2">
      <c r="A84" s="11"/>
      <c r="B84" s="1" t="s">
        <v>24</v>
      </c>
      <c r="C84" s="1" t="s">
        <v>18</v>
      </c>
      <c r="D84" s="1" t="s">
        <v>18</v>
      </c>
      <c r="E84" s="5">
        <v>2</v>
      </c>
      <c r="F84" s="1"/>
      <c r="G84" s="1"/>
      <c r="H84" s="1">
        <v>1000</v>
      </c>
    </row>
    <row r="86" spans="1:8" x14ac:dyDescent="0.2">
      <c r="A86" s="4" t="s">
        <v>141</v>
      </c>
      <c r="B86" s="10" t="s">
        <v>7</v>
      </c>
      <c r="C86" s="10"/>
      <c r="F86" s="1"/>
      <c r="G86" s="1"/>
      <c r="H86" s="1"/>
    </row>
    <row r="87" spans="1:8" x14ac:dyDescent="0.2">
      <c r="A87" s="5" t="s">
        <v>53</v>
      </c>
      <c r="B87" s="5" t="s">
        <v>5</v>
      </c>
      <c r="C87" s="5" t="s">
        <v>12</v>
      </c>
      <c r="D87" s="5" t="s">
        <v>15</v>
      </c>
      <c r="E87" s="5" t="s">
        <v>2</v>
      </c>
      <c r="F87" s="5" t="s">
        <v>4</v>
      </c>
      <c r="G87" s="5" t="s">
        <v>9</v>
      </c>
      <c r="H87" s="5" t="s">
        <v>3</v>
      </c>
    </row>
    <row r="88" spans="1:8" x14ac:dyDescent="0.2">
      <c r="A88" s="2" t="s">
        <v>120</v>
      </c>
      <c r="B88" s="1" t="s">
        <v>139</v>
      </c>
      <c r="C88" s="1" t="s">
        <v>121</v>
      </c>
      <c r="D88" s="1" t="s">
        <v>16</v>
      </c>
      <c r="E88" s="2">
        <v>2</v>
      </c>
      <c r="F88" s="1" t="s">
        <v>10</v>
      </c>
      <c r="G88" s="1" t="s">
        <v>113</v>
      </c>
      <c r="H88" s="1">
        <v>6000</v>
      </c>
    </row>
    <row r="89" spans="1:8" x14ac:dyDescent="0.2">
      <c r="A89" s="2" t="s">
        <v>19</v>
      </c>
      <c r="B89" s="1" t="s">
        <v>122</v>
      </c>
      <c r="C89" s="1" t="s">
        <v>69</v>
      </c>
      <c r="D89" s="1" t="s">
        <v>18</v>
      </c>
      <c r="E89" s="2">
        <v>1</v>
      </c>
      <c r="F89" s="1" t="s">
        <v>132</v>
      </c>
      <c r="G89" s="1" t="s">
        <v>128</v>
      </c>
      <c r="H89" s="1">
        <v>2060</v>
      </c>
    </row>
    <row r="90" spans="1:8" ht="30" customHeight="1" x14ac:dyDescent="0.2">
      <c r="A90" s="1" t="s">
        <v>123</v>
      </c>
      <c r="B90" s="1"/>
      <c r="C90" s="1" t="s">
        <v>124</v>
      </c>
      <c r="D90" s="1" t="s">
        <v>125</v>
      </c>
      <c r="E90" s="1">
        <v>1</v>
      </c>
      <c r="F90" s="1" t="s">
        <v>133</v>
      </c>
      <c r="G90" s="1" t="s">
        <v>129</v>
      </c>
      <c r="H90" s="1">
        <v>3000</v>
      </c>
    </row>
    <row r="91" spans="1:8" x14ac:dyDescent="0.2">
      <c r="A91" s="2" t="s">
        <v>126</v>
      </c>
      <c r="B91" s="1"/>
      <c r="C91" s="1" t="s">
        <v>18</v>
      </c>
      <c r="D91" s="1" t="s">
        <v>16</v>
      </c>
      <c r="E91" s="5">
        <v>1</v>
      </c>
      <c r="F91" s="1" t="s">
        <v>127</v>
      </c>
      <c r="G91" s="1" t="s">
        <v>11</v>
      </c>
      <c r="H91" s="1">
        <v>750</v>
      </c>
    </row>
    <row r="92" spans="1:8" x14ac:dyDescent="0.2">
      <c r="A92" s="2" t="s">
        <v>130</v>
      </c>
      <c r="B92" s="1" t="s">
        <v>131</v>
      </c>
      <c r="C92" s="1" t="s">
        <v>18</v>
      </c>
      <c r="D92" s="1" t="s">
        <v>134</v>
      </c>
      <c r="E92" s="2">
        <v>1</v>
      </c>
      <c r="F92" s="1" t="s">
        <v>136</v>
      </c>
      <c r="G92" s="1" t="s">
        <v>11</v>
      </c>
      <c r="H92" s="1">
        <v>1300</v>
      </c>
    </row>
    <row r="93" spans="1:8" ht="14.25" customHeight="1" x14ac:dyDescent="0.2">
      <c r="A93" s="2" t="s">
        <v>115</v>
      </c>
      <c r="B93" s="2" t="s">
        <v>119</v>
      </c>
      <c r="C93" s="2" t="s">
        <v>138</v>
      </c>
      <c r="D93" s="1" t="s">
        <v>18</v>
      </c>
      <c r="E93" s="2">
        <v>1</v>
      </c>
      <c r="F93" s="1" t="s">
        <v>137</v>
      </c>
      <c r="G93" s="1" t="s">
        <v>11</v>
      </c>
      <c r="H93" s="1">
        <v>2150</v>
      </c>
    </row>
    <row r="94" spans="1:8" x14ac:dyDescent="0.2">
      <c r="A94" s="5"/>
      <c r="B94" s="1"/>
      <c r="C94" s="1"/>
      <c r="D94" s="1"/>
      <c r="E94" s="2">
        <f>SUM(E4:E93)</f>
        <v>106</v>
      </c>
      <c r="G94" s="1"/>
      <c r="H94" s="1">
        <f>SUM(H4:H93)</f>
        <v>80743</v>
      </c>
    </row>
  </sheetData>
  <mergeCells count="21">
    <mergeCell ref="B86:C86"/>
    <mergeCell ref="B49:C49"/>
    <mergeCell ref="A51:A57"/>
    <mergeCell ref="B60:C60"/>
    <mergeCell ref="B66:C66"/>
    <mergeCell ref="B76:C76"/>
    <mergeCell ref="A83:A84"/>
    <mergeCell ref="B26:D26"/>
    <mergeCell ref="F26:G26"/>
    <mergeCell ref="B27:C27"/>
    <mergeCell ref="B34:C34"/>
    <mergeCell ref="B40:C40"/>
    <mergeCell ref="B45:C45"/>
    <mergeCell ref="B14:D14"/>
    <mergeCell ref="A15:A17"/>
    <mergeCell ref="B19:C19"/>
    <mergeCell ref="B22:D22"/>
    <mergeCell ref="F22:G22"/>
    <mergeCell ref="A1:H1"/>
    <mergeCell ref="B2:C2"/>
    <mergeCell ref="A7:A10"/>
  </mergeCells>
  <phoneticPr fontId="1" type="noConversion"/>
  <pageMargins left="0.7" right="0.7" top="0.75" bottom="0.75" header="0.3" footer="0.3"/>
  <pageSetup paperSize="9" scale="60" orientation="portrait" r:id="rId1"/>
  <rowBreaks count="1" manualBreakCount="1">
    <brk id="4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5月3号</vt:lpstr>
      <vt:lpstr>5月4号</vt:lpstr>
      <vt:lpstr>5月7号</vt:lpstr>
      <vt:lpstr>5月11号</vt:lpstr>
      <vt:lpstr>5月12号</vt:lpstr>
      <vt:lpstr>5月13号</vt:lpstr>
      <vt:lpstr>5月18号</vt:lpstr>
      <vt:lpstr>5月19号</vt:lpstr>
      <vt:lpstr>5月20号</vt:lpstr>
      <vt:lpstr>5月20号北味村灶具</vt:lpstr>
      <vt:lpstr>灶具总</vt:lpstr>
      <vt:lpstr>灶具总!Print_Area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 彭</dc:creator>
  <cp:lastModifiedBy>振 彭</cp:lastModifiedBy>
  <dcterms:created xsi:type="dcterms:W3CDTF">2026-05-19T08:36:43Z</dcterms:created>
  <dcterms:modified xsi:type="dcterms:W3CDTF">2026-05-20T08:15:04Z</dcterms:modified>
</cp:coreProperties>
</file>