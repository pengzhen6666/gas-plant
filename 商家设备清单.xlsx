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A4DD8A8E-F71B-4407-8DE5-931521AA6DEB}" xr6:coauthVersionLast="47" xr6:coauthVersionMax="47" xr10:uidLastSave="{00000000-0000-0000-0000-000000000000}"/>
  <bookViews>
    <workbookView xWindow="-120" yWindow="-120" windowWidth="29040" windowHeight="15720" activeTab="1" xr2:uid="{39B552AE-829A-4799-A79F-193373879914}"/>
  </bookViews>
  <sheets>
    <sheet name="常德老爷子土菜馆" sheetId="1" r:id="rId1"/>
    <sheet name="莽贵贵老贵阳烤鸡" sheetId="2" r:id="rId2"/>
    <sheet name="北味村豆包东北烧烤" sheetId="3" r:id="rId3"/>
    <sheet name="福缘东北菜饺子馆子" sheetId="4" r:id="rId4"/>
    <sheet name="小湘厨（壆岗店）" sheetId="5" r:id="rId5"/>
    <sheet name="小湘厨（味家鲜)(固戍店)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7" l="1"/>
  <c r="G8" i="5"/>
  <c r="G8" i="4"/>
  <c r="G7" i="3"/>
  <c r="G6" i="2"/>
  <c r="E8" i="1"/>
  <c r="G8" i="1"/>
</calcChain>
</file>

<file path=xl/sharedStrings.xml><?xml version="1.0" encoding="utf-8"?>
<sst xmlns="http://schemas.openxmlformats.org/spreadsheetml/2006/main" count="232" uniqueCount="63">
  <si>
    <t>商家设备清单</t>
    <phoneticPr fontId="1" type="noConversion"/>
  </si>
  <si>
    <t>设备名称</t>
    <phoneticPr fontId="1" type="noConversion"/>
  </si>
  <si>
    <t>设备数量</t>
    <phoneticPr fontId="1" type="noConversion"/>
  </si>
  <si>
    <t>设备价值</t>
    <phoneticPr fontId="1" type="noConversion"/>
  </si>
  <si>
    <t>设备尺寸</t>
    <phoneticPr fontId="1" type="noConversion"/>
  </si>
  <si>
    <t>商家名称：常德老爷子土菜馆</t>
    <phoneticPr fontId="1" type="noConversion"/>
  </si>
  <si>
    <t>双炒单温</t>
    <phoneticPr fontId="1" type="noConversion"/>
  </si>
  <si>
    <t>1800*900*800</t>
    <phoneticPr fontId="1" type="noConversion"/>
  </si>
  <si>
    <t>备注</t>
    <phoneticPr fontId="1" type="noConversion"/>
  </si>
  <si>
    <t>手柄开关</t>
    <phoneticPr fontId="1" type="noConversion"/>
  </si>
  <si>
    <t>单炒单温</t>
    <phoneticPr fontId="1" type="noConversion"/>
  </si>
  <si>
    <t>锅口</t>
    <phoneticPr fontId="1" type="noConversion"/>
  </si>
  <si>
    <t>950*850*800</t>
    <phoneticPr fontId="1" type="noConversion"/>
  </si>
  <si>
    <t>炉头</t>
    <phoneticPr fontId="1" type="noConversion"/>
  </si>
  <si>
    <t>D4</t>
    <phoneticPr fontId="1" type="noConversion"/>
  </si>
  <si>
    <t>四眼煲仔炉</t>
    <phoneticPr fontId="1" type="noConversion"/>
  </si>
  <si>
    <t>750*900*900</t>
    <phoneticPr fontId="1" type="noConversion"/>
  </si>
  <si>
    <t>#</t>
    <phoneticPr fontId="1" type="noConversion"/>
  </si>
  <si>
    <t>2电气化</t>
    <phoneticPr fontId="1" type="noConversion"/>
  </si>
  <si>
    <t>2电喷</t>
    <phoneticPr fontId="1" type="noConversion"/>
  </si>
  <si>
    <t>油箱</t>
    <phoneticPr fontId="1" type="noConversion"/>
  </si>
  <si>
    <t>600*800*800</t>
    <phoneticPr fontId="1" type="noConversion"/>
  </si>
  <si>
    <t>336L</t>
    <phoneticPr fontId="1" type="noConversion"/>
  </si>
  <si>
    <t>合计：</t>
    <phoneticPr fontId="1" type="noConversion"/>
  </si>
  <si>
    <t>商家名称：莽贵贵老贵阳烤鸡</t>
    <phoneticPr fontId="1" type="noConversion"/>
  </si>
  <si>
    <t>1500*900*800</t>
    <phoneticPr fontId="1" type="noConversion"/>
  </si>
  <si>
    <t>手柄开关、拉杆熄火</t>
    <phoneticPr fontId="1" type="noConversion"/>
  </si>
  <si>
    <t>500*800*800</t>
    <phoneticPr fontId="1" type="noConversion"/>
  </si>
  <si>
    <t>280L</t>
    <phoneticPr fontId="1" type="noConversion"/>
  </si>
  <si>
    <t>商家名称：北味村豆包东北烧烤</t>
    <phoneticPr fontId="1" type="noConversion"/>
  </si>
  <si>
    <t>商家名称：福缘东北菜饺子馆子</t>
    <phoneticPr fontId="1" type="noConversion"/>
  </si>
  <si>
    <t>立式猛火灶</t>
    <phoneticPr fontId="1" type="noConversion"/>
  </si>
  <si>
    <t>480*500*650</t>
    <phoneticPr fontId="1" type="noConversion"/>
  </si>
  <si>
    <t>战狼</t>
    <phoneticPr fontId="1" type="noConversion"/>
  </si>
  <si>
    <t>蒸饭车</t>
    <phoneticPr fontId="1" type="noConversion"/>
  </si>
  <si>
    <t>16号分体炉头</t>
    <phoneticPr fontId="1" type="noConversion"/>
  </si>
  <si>
    <t>多管燃烧室</t>
    <phoneticPr fontId="1" type="noConversion"/>
  </si>
  <si>
    <t>商家名称：小湘厨（壆岗店）</t>
    <phoneticPr fontId="1" type="noConversion"/>
  </si>
  <si>
    <t>商家名称：小湘厨（味家鲜)(固戍店)</t>
    <phoneticPr fontId="1" type="noConversion"/>
  </si>
  <si>
    <t>双眼低汤灶</t>
    <phoneticPr fontId="1" type="noConversion"/>
  </si>
  <si>
    <t>1200*800*650</t>
    <phoneticPr fontId="1" type="noConversion"/>
  </si>
  <si>
    <t>蒸汽发生器</t>
    <phoneticPr fontId="1" type="noConversion"/>
  </si>
  <si>
    <t>1000*500*800</t>
    <phoneticPr fontId="1" type="noConversion"/>
  </si>
  <si>
    <t>K2</t>
    <phoneticPr fontId="1" type="noConversion"/>
  </si>
  <si>
    <t>厦门厂家</t>
    <phoneticPr fontId="1" type="noConversion"/>
  </si>
  <si>
    <t>700*800*800</t>
    <phoneticPr fontId="1" type="noConversion"/>
  </si>
  <si>
    <t>392L</t>
    <phoneticPr fontId="1" type="noConversion"/>
  </si>
  <si>
    <t>商家销售清单</t>
    <phoneticPr fontId="1" type="noConversion"/>
  </si>
  <si>
    <t>时间</t>
    <phoneticPr fontId="1" type="noConversion"/>
  </si>
  <si>
    <t>金额</t>
    <phoneticPr fontId="1" type="noConversion"/>
  </si>
  <si>
    <t>名称</t>
    <phoneticPr fontId="1" type="noConversion"/>
  </si>
  <si>
    <t>状态</t>
    <phoneticPr fontId="1" type="noConversion"/>
  </si>
  <si>
    <t>结算时间</t>
    <phoneticPr fontId="1" type="noConversion"/>
  </si>
  <si>
    <t>桉燃3号</t>
    <phoneticPr fontId="1" type="noConversion"/>
  </si>
  <si>
    <t>数量（斤）</t>
    <phoneticPr fontId="1" type="noConversion"/>
  </si>
  <si>
    <t>单价</t>
    <phoneticPr fontId="1" type="noConversion"/>
  </si>
  <si>
    <t>已结清</t>
    <phoneticPr fontId="1" type="noConversion"/>
  </si>
  <si>
    <t>未结</t>
    <phoneticPr fontId="1" type="noConversion"/>
  </si>
  <si>
    <t>数量（升）</t>
    <phoneticPr fontId="1" type="noConversion"/>
  </si>
  <si>
    <t>数量（L）</t>
    <phoneticPr fontId="1" type="noConversion"/>
  </si>
  <si>
    <t>宁煤液蜡2号</t>
    <phoneticPr fontId="1" type="noConversion"/>
  </si>
  <si>
    <t>押金：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</si>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</sst>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58" fontId="7" fillId="0" borderId="0" xfId="0" applyNumberFormat="1" applyFont="1" applyAlignment="1">
      <alignment horizontal="center" vertical="center"/>
    </xf>
    <xf numFmtId="58" fontId="6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F7EBD-F914-4BD4-858D-AB1A4B5FF97D}">
  <dimension ref="A1:P24"/>
  <sheetViews>
    <sheetView topLeftCell="B1" workbookViewId="0">
      <selection activeCell="L8" sqref="L8"/>
    </sheetView>
  </sheetViews>
  <sheetFormatPr defaultRowHeight="14.25" x14ac:dyDescent="0.2"/>
  <cols>
    <col min="1" max="18" width="15.625" customWidth="1"/>
  </cols>
  <sheetData>
    <row r="1" spans="1:16" ht="30" customHeight="1" x14ac:dyDescent="0.2">
      <c r="A1" s="5" t="s">
        <v>0</v>
      </c>
      <c r="B1" s="5"/>
      <c r="C1" s="5"/>
      <c r="D1" s="5"/>
      <c r="E1" s="5"/>
      <c r="F1" s="5"/>
      <c r="G1" s="5"/>
      <c r="I1" s="5" t="s">
        <v>47</v>
      </c>
      <c r="J1" s="5"/>
      <c r="K1" s="5"/>
      <c r="L1" s="5"/>
      <c r="M1" s="5"/>
      <c r="N1" s="5"/>
      <c r="O1" s="5"/>
    </row>
    <row r="2" spans="1:16" ht="30" customHeight="1" x14ac:dyDescent="0.2">
      <c r="A2" s="4" t="s">
        <v>5</v>
      </c>
      <c r="B2" s="4"/>
      <c r="C2" s="4"/>
      <c r="D2" s="4"/>
      <c r="E2" s="1"/>
      <c r="F2" s="1"/>
      <c r="G2" s="1"/>
    </row>
    <row r="3" spans="1:16" ht="30" customHeight="1" x14ac:dyDescent="0.2">
      <c r="A3" s="7" t="s">
        <v>1</v>
      </c>
      <c r="B3" s="7" t="s">
        <v>4</v>
      </c>
      <c r="C3" s="7" t="s">
        <v>11</v>
      </c>
      <c r="D3" s="7" t="s">
        <v>13</v>
      </c>
      <c r="E3" s="7" t="s">
        <v>2</v>
      </c>
      <c r="F3" s="7" t="s">
        <v>8</v>
      </c>
      <c r="G3" s="7" t="s">
        <v>3</v>
      </c>
      <c r="I3" s="7" t="s">
        <v>50</v>
      </c>
      <c r="J3" s="7" t="s">
        <v>48</v>
      </c>
      <c r="K3" s="7" t="s">
        <v>54</v>
      </c>
      <c r="L3" s="7" t="s">
        <v>59</v>
      </c>
      <c r="M3" s="7" t="s">
        <v>55</v>
      </c>
      <c r="N3" s="7" t="s">
        <v>49</v>
      </c>
      <c r="O3" s="7" t="s">
        <v>51</v>
      </c>
      <c r="P3" s="7" t="s">
        <v>52</v>
      </c>
    </row>
    <row r="4" spans="1:16" ht="30" customHeight="1" x14ac:dyDescent="0.2">
      <c r="A4" s="1" t="s">
        <v>6</v>
      </c>
      <c r="B4" s="1" t="s">
        <v>7</v>
      </c>
      <c r="C4" s="1">
        <v>35</v>
      </c>
      <c r="D4" s="1" t="s">
        <v>14</v>
      </c>
      <c r="E4" s="1">
        <v>1</v>
      </c>
      <c r="F4" s="1" t="s">
        <v>9</v>
      </c>
      <c r="G4" s="3">
        <v>1980</v>
      </c>
      <c r="I4" s="2" t="s">
        <v>53</v>
      </c>
      <c r="J4" s="6">
        <v>46146.400000000001</v>
      </c>
      <c r="K4" s="1">
        <v>159.58000000000001</v>
      </c>
      <c r="L4" s="1">
        <v>110</v>
      </c>
      <c r="M4" s="1">
        <v>6</v>
      </c>
      <c r="N4" s="1">
        <v>957.48</v>
      </c>
      <c r="O4" s="2" t="s">
        <v>56</v>
      </c>
      <c r="P4" s="1">
        <v>5.8</v>
      </c>
    </row>
    <row r="5" spans="1:16" ht="30" customHeight="1" x14ac:dyDescent="0.2">
      <c r="A5" s="1" t="s">
        <v>10</v>
      </c>
      <c r="B5" s="1" t="s">
        <v>12</v>
      </c>
      <c r="C5" s="1">
        <v>31</v>
      </c>
      <c r="D5" s="1" t="s">
        <v>14</v>
      </c>
      <c r="E5" s="1">
        <v>1</v>
      </c>
      <c r="F5" s="1" t="s">
        <v>9</v>
      </c>
      <c r="G5" s="3">
        <v>990</v>
      </c>
      <c r="I5" s="8" t="s">
        <v>53</v>
      </c>
      <c r="J5" s="9">
        <v>5.1100000000000003</v>
      </c>
      <c r="K5" s="9">
        <v>226</v>
      </c>
      <c r="L5" s="9">
        <v>150</v>
      </c>
      <c r="M5" s="9">
        <v>6</v>
      </c>
      <c r="N5" s="9">
        <v>1354</v>
      </c>
      <c r="O5" s="8" t="s">
        <v>57</v>
      </c>
      <c r="P5" s="10"/>
    </row>
    <row r="6" spans="1:16" ht="30" customHeight="1" x14ac:dyDescent="0.2">
      <c r="A6" s="1" t="s">
        <v>15</v>
      </c>
      <c r="B6" s="1" t="s">
        <v>16</v>
      </c>
      <c r="C6" s="1" t="s">
        <v>18</v>
      </c>
      <c r="D6" s="1" t="s">
        <v>19</v>
      </c>
      <c r="E6" s="1">
        <v>1</v>
      </c>
      <c r="F6" s="1" t="s">
        <v>17</v>
      </c>
      <c r="G6" s="3">
        <v>2360</v>
      </c>
      <c r="I6" s="1"/>
      <c r="J6" s="1"/>
      <c r="K6" s="1"/>
      <c r="L6" s="1"/>
      <c r="M6" s="1"/>
      <c r="N6" s="1"/>
    </row>
    <row r="7" spans="1:16" ht="30" customHeight="1" x14ac:dyDescent="0.2">
      <c r="A7" s="1" t="s">
        <v>20</v>
      </c>
      <c r="B7" s="1" t="s">
        <v>21</v>
      </c>
      <c r="C7" s="1" t="s">
        <v>17</v>
      </c>
      <c r="D7" s="1" t="s">
        <v>17</v>
      </c>
      <c r="E7" s="1">
        <v>1</v>
      </c>
      <c r="F7" s="1" t="s">
        <v>22</v>
      </c>
      <c r="G7" s="1">
        <v>500</v>
      </c>
      <c r="I7" s="1"/>
      <c r="J7" s="1"/>
      <c r="K7" s="1"/>
      <c r="L7" s="1"/>
      <c r="M7" s="1"/>
      <c r="N7" s="1"/>
    </row>
    <row r="8" spans="1:16" ht="30" customHeight="1" x14ac:dyDescent="0.2">
      <c r="A8" s="2" t="s">
        <v>23</v>
      </c>
      <c r="B8" s="1"/>
      <c r="C8" s="1"/>
      <c r="D8" s="1"/>
      <c r="E8" s="2">
        <f>SUM(E4:E7)</f>
        <v>4</v>
      </c>
      <c r="F8" s="1"/>
      <c r="G8" s="2">
        <f>SUM(G4:G7)</f>
        <v>5830</v>
      </c>
      <c r="I8" s="1"/>
      <c r="J8" s="1"/>
      <c r="K8" s="1"/>
      <c r="L8" s="1"/>
      <c r="M8" s="1"/>
      <c r="N8" s="1"/>
    </row>
    <row r="9" spans="1:16" ht="30" customHeight="1" x14ac:dyDescent="0.2">
      <c r="A9" s="1"/>
      <c r="B9" s="1"/>
      <c r="C9" s="1"/>
      <c r="D9" s="1"/>
      <c r="E9" s="1"/>
      <c r="F9" s="1"/>
      <c r="G9" s="1"/>
    </row>
    <row r="10" spans="1:16" ht="30" customHeight="1" x14ac:dyDescent="0.2">
      <c r="A10" s="1"/>
      <c r="B10" s="1"/>
      <c r="C10" s="1"/>
      <c r="D10" s="1"/>
      <c r="E10" s="1"/>
      <c r="F10" s="1"/>
      <c r="G10" s="1"/>
    </row>
    <row r="11" spans="1:16" ht="30" customHeight="1" x14ac:dyDescent="0.2">
      <c r="A11" s="1"/>
      <c r="B11" s="1"/>
      <c r="C11" s="1"/>
      <c r="D11" s="1"/>
      <c r="E11" s="1"/>
      <c r="F11" s="1"/>
      <c r="G11" s="1"/>
    </row>
    <row r="12" spans="1:16" ht="30" customHeight="1" x14ac:dyDescent="0.2">
      <c r="A12" s="1"/>
      <c r="B12" s="1"/>
      <c r="C12" s="1"/>
      <c r="D12" s="1"/>
      <c r="E12" s="1"/>
      <c r="F12" s="1"/>
      <c r="G12" s="1"/>
    </row>
    <row r="13" spans="1:16" ht="30" customHeight="1" x14ac:dyDescent="0.2">
      <c r="A13" s="1"/>
      <c r="B13" s="1"/>
      <c r="C13" s="1"/>
      <c r="D13" s="1"/>
      <c r="E13" s="1"/>
      <c r="F13" s="1"/>
      <c r="G13" s="1"/>
    </row>
    <row r="14" spans="1:16" ht="30" customHeight="1" x14ac:dyDescent="0.2">
      <c r="A14" s="1"/>
      <c r="B14" s="1"/>
      <c r="C14" s="1"/>
      <c r="D14" s="1"/>
      <c r="E14" s="1"/>
      <c r="F14" s="1"/>
      <c r="G14" s="1"/>
    </row>
    <row r="15" spans="1:16" ht="30" customHeight="1" x14ac:dyDescent="0.2">
      <c r="A15" s="1"/>
      <c r="B15" s="1"/>
      <c r="C15" s="1"/>
      <c r="D15" s="1"/>
      <c r="E15" s="1"/>
      <c r="F15" s="1"/>
      <c r="G15" s="1"/>
    </row>
    <row r="16" spans="1:16" ht="30" customHeight="1" x14ac:dyDescent="0.2">
      <c r="A16" s="1"/>
      <c r="B16" s="1"/>
      <c r="C16" s="1"/>
      <c r="D16" s="1"/>
      <c r="E16" s="1"/>
      <c r="F16" s="1"/>
      <c r="G16" s="1"/>
    </row>
    <row r="17" spans="1:7" ht="30" customHeight="1" x14ac:dyDescent="0.2">
      <c r="A17" s="1"/>
      <c r="B17" s="1"/>
      <c r="C17" s="1"/>
      <c r="D17" s="1"/>
      <c r="E17" s="1"/>
      <c r="F17" s="1"/>
      <c r="G17" s="1"/>
    </row>
    <row r="18" spans="1:7" ht="30" customHeight="1" x14ac:dyDescent="0.2">
      <c r="A18" s="1"/>
      <c r="B18" s="1"/>
      <c r="C18" s="1"/>
      <c r="D18" s="1"/>
      <c r="E18" s="1"/>
      <c r="F18" s="1"/>
      <c r="G18" s="1"/>
    </row>
    <row r="19" spans="1:7" ht="30" customHeight="1" x14ac:dyDescent="0.2">
      <c r="A19" s="1"/>
      <c r="B19" s="1"/>
      <c r="C19" s="1"/>
      <c r="D19" s="1"/>
      <c r="E19" s="1"/>
      <c r="F19" s="1"/>
      <c r="G19" s="1"/>
    </row>
    <row r="20" spans="1:7" ht="30" customHeight="1" x14ac:dyDescent="0.2">
      <c r="A20" s="1"/>
      <c r="B20" s="1"/>
      <c r="C20" s="1"/>
      <c r="D20" s="1"/>
      <c r="E20" s="1"/>
      <c r="F20" s="1"/>
      <c r="G20" s="1"/>
    </row>
    <row r="21" spans="1:7" ht="30" customHeight="1" x14ac:dyDescent="0.2">
      <c r="A21" s="1"/>
      <c r="B21" s="1"/>
      <c r="C21" s="1"/>
      <c r="D21" s="1"/>
      <c r="E21" s="1"/>
      <c r="F21" s="1"/>
      <c r="G21" s="1"/>
    </row>
    <row r="22" spans="1:7" ht="30" customHeight="1" x14ac:dyDescent="0.2">
      <c r="A22" s="1"/>
      <c r="B22" s="1"/>
      <c r="C22" s="1"/>
      <c r="D22" s="1"/>
      <c r="E22" s="1"/>
      <c r="F22" s="1"/>
      <c r="G22" s="1"/>
    </row>
    <row r="23" spans="1:7" ht="30" customHeight="1" x14ac:dyDescent="0.2">
      <c r="A23" s="1"/>
      <c r="B23" s="1"/>
      <c r="C23" s="1"/>
      <c r="D23" s="1"/>
      <c r="E23" s="1"/>
      <c r="F23" s="1"/>
      <c r="G23" s="1"/>
    </row>
    <row r="24" spans="1:7" ht="30" customHeight="1" x14ac:dyDescent="0.2">
      <c r="A24" s="1"/>
      <c r="B24" s="1"/>
      <c r="C24" s="1"/>
      <c r="D24" s="1"/>
      <c r="E24" s="1"/>
      <c r="F24" s="1"/>
      <c r="G24" s="1"/>
    </row>
  </sheetData>
  <mergeCells count="3">
    <mergeCell ref="A2:D2"/>
    <mergeCell ref="I1:O1"/>
    <mergeCell ref="A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80A65-BE90-422C-A639-71981538938E}">
  <dimension ref="A1:P10"/>
  <sheetViews>
    <sheetView tabSelected="1" workbookViewId="0">
      <selection activeCell="D8" sqref="D8"/>
    </sheetView>
  </sheetViews>
  <sheetFormatPr defaultRowHeight="14.25" x14ac:dyDescent="0.2"/>
  <cols>
    <col min="1" max="5" width="15.625" customWidth="1"/>
    <col min="6" max="6" width="17" customWidth="1"/>
    <col min="7" max="7" width="15.625" customWidth="1"/>
    <col min="9" max="9" width="13.5" customWidth="1"/>
    <col min="10" max="10" width="9.625" customWidth="1"/>
    <col min="11" max="11" width="12.375" customWidth="1"/>
    <col min="12" max="12" width="12.25" customWidth="1"/>
    <col min="13" max="13" width="13.75" customWidth="1"/>
    <col min="14" max="14" width="14.375" customWidth="1"/>
    <col min="15" max="15" width="13.125" customWidth="1"/>
    <col min="16" max="16" width="12.75" customWidth="1"/>
  </cols>
  <sheetData>
    <row r="1" spans="1:16" ht="30" customHeight="1" x14ac:dyDescent="0.2">
      <c r="A1" s="5" t="s">
        <v>0</v>
      </c>
      <c r="B1" s="5"/>
      <c r="C1" s="5"/>
      <c r="D1" s="5"/>
      <c r="E1" s="5"/>
      <c r="F1" s="5"/>
      <c r="G1" s="5"/>
      <c r="I1" s="5" t="s">
        <v>47</v>
      </c>
      <c r="J1" s="5"/>
      <c r="K1" s="5"/>
      <c r="L1" s="5"/>
      <c r="M1" s="5"/>
      <c r="N1" s="5"/>
      <c r="O1" s="5"/>
    </row>
    <row r="2" spans="1:16" ht="30" customHeight="1" x14ac:dyDescent="0.2">
      <c r="A2" s="4" t="s">
        <v>24</v>
      </c>
      <c r="B2" s="4"/>
      <c r="C2" s="4"/>
      <c r="D2" s="4"/>
      <c r="E2" s="1"/>
      <c r="F2" s="1"/>
      <c r="G2" s="1"/>
    </row>
    <row r="3" spans="1:16" ht="30" customHeight="1" x14ac:dyDescent="0.2">
      <c r="A3" s="2" t="s">
        <v>1</v>
      </c>
      <c r="B3" s="2" t="s">
        <v>4</v>
      </c>
      <c r="C3" s="2" t="s">
        <v>11</v>
      </c>
      <c r="D3" s="2" t="s">
        <v>13</v>
      </c>
      <c r="E3" s="2" t="s">
        <v>2</v>
      </c>
      <c r="F3" s="2" t="s">
        <v>8</v>
      </c>
      <c r="G3" s="2" t="s">
        <v>3</v>
      </c>
      <c r="I3" s="7" t="s">
        <v>50</v>
      </c>
      <c r="J3" s="7" t="s">
        <v>48</v>
      </c>
      <c r="K3" s="7" t="s">
        <v>54</v>
      </c>
      <c r="L3" s="7" t="s">
        <v>58</v>
      </c>
      <c r="M3" s="7" t="s">
        <v>55</v>
      </c>
      <c r="N3" s="7" t="s">
        <v>49</v>
      </c>
      <c r="O3" s="7" t="s">
        <v>51</v>
      </c>
      <c r="P3" s="7" t="s">
        <v>52</v>
      </c>
    </row>
    <row r="4" spans="1:16" ht="30" customHeight="1" x14ac:dyDescent="0.2">
      <c r="A4" s="1" t="s">
        <v>6</v>
      </c>
      <c r="B4" s="1" t="s">
        <v>25</v>
      </c>
      <c r="C4" s="1">
        <v>31</v>
      </c>
      <c r="D4" s="1" t="s">
        <v>14</v>
      </c>
      <c r="E4" s="1">
        <v>1</v>
      </c>
      <c r="F4" s="1" t="s">
        <v>26</v>
      </c>
      <c r="G4" s="3">
        <v>1750</v>
      </c>
      <c r="I4" s="2" t="s">
        <v>53</v>
      </c>
      <c r="J4" s="6">
        <v>46132.4</v>
      </c>
      <c r="K4" s="1">
        <v>205</v>
      </c>
      <c r="L4" s="1">
        <v>150</v>
      </c>
      <c r="M4" s="1">
        <v>4.9000000000000004</v>
      </c>
      <c r="N4" s="1">
        <v>1004</v>
      </c>
      <c r="O4" s="2" t="s">
        <v>56</v>
      </c>
      <c r="P4" s="6">
        <v>46132.4</v>
      </c>
    </row>
    <row r="5" spans="1:16" ht="30" customHeight="1" x14ac:dyDescent="0.2">
      <c r="A5" s="1" t="s">
        <v>20</v>
      </c>
      <c r="B5" s="1" t="s">
        <v>27</v>
      </c>
      <c r="C5" s="1" t="s">
        <v>17</v>
      </c>
      <c r="D5" s="1" t="s">
        <v>17</v>
      </c>
      <c r="E5" s="1">
        <v>1</v>
      </c>
      <c r="F5" s="1" t="s">
        <v>28</v>
      </c>
      <c r="G5" s="3">
        <v>450</v>
      </c>
      <c r="I5" s="2" t="s">
        <v>53</v>
      </c>
      <c r="J5" s="1">
        <v>5.2</v>
      </c>
      <c r="K5" s="1">
        <v>294.8</v>
      </c>
      <c r="L5" s="1">
        <v>200</v>
      </c>
      <c r="M5" s="1">
        <v>5.5</v>
      </c>
      <c r="N5" s="1">
        <v>1621.4</v>
      </c>
      <c r="O5" s="2" t="s">
        <v>56</v>
      </c>
      <c r="P5" s="1">
        <v>5.2</v>
      </c>
    </row>
    <row r="6" spans="1:16" ht="30" customHeight="1" x14ac:dyDescent="0.2">
      <c r="A6" s="2" t="s">
        <v>23</v>
      </c>
      <c r="B6" s="1"/>
      <c r="C6" s="1"/>
      <c r="D6" s="1"/>
      <c r="E6" s="1"/>
      <c r="F6" s="1"/>
      <c r="G6" s="3">
        <f>SUM(G4:G5)</f>
        <v>2200</v>
      </c>
      <c r="I6" s="1"/>
      <c r="J6" s="1"/>
      <c r="K6" s="1"/>
      <c r="L6" s="1"/>
      <c r="M6" s="1"/>
      <c r="N6" s="1"/>
    </row>
    <row r="7" spans="1:16" ht="30" customHeight="1" x14ac:dyDescent="0.2">
      <c r="A7" s="1" t="s">
        <v>61</v>
      </c>
      <c r="B7" s="2">
        <v>2000</v>
      </c>
      <c r="C7" s="1"/>
      <c r="D7" s="1"/>
      <c r="E7" s="1"/>
      <c r="F7" s="1"/>
      <c r="G7" s="1"/>
      <c r="I7" s="1"/>
      <c r="J7" s="1"/>
      <c r="K7" s="1"/>
      <c r="L7" s="1"/>
      <c r="M7" s="1"/>
      <c r="N7" s="1"/>
    </row>
    <row r="8" spans="1:16" ht="30" customHeight="1" x14ac:dyDescent="0.2">
      <c r="A8" s="2"/>
      <c r="B8" s="1"/>
      <c r="C8" s="1"/>
      <c r="D8" s="2" t="s">
        <v>62</v>
      </c>
      <c r="F8" s="1"/>
      <c r="G8" s="2"/>
      <c r="I8" s="1"/>
      <c r="J8" s="1"/>
      <c r="K8" s="1"/>
      <c r="L8" s="1"/>
      <c r="M8" s="1"/>
      <c r="N8" s="1"/>
    </row>
    <row r="9" spans="1:16" x14ac:dyDescent="0.2">
      <c r="A9" s="1"/>
      <c r="B9" s="1"/>
      <c r="C9" s="1"/>
      <c r="D9" s="1"/>
      <c r="E9" s="1"/>
      <c r="F9" s="1"/>
      <c r="G9" s="1"/>
    </row>
    <row r="10" spans="1:16" x14ac:dyDescent="0.2">
      <c r="A10" s="1"/>
      <c r="B10" s="1"/>
      <c r="C10" s="1"/>
      <c r="D10" s="1"/>
      <c r="E10" s="1"/>
      <c r="F10" s="1"/>
      <c r="G10" s="1"/>
    </row>
  </sheetData>
  <mergeCells count="3">
    <mergeCell ref="A1:G1"/>
    <mergeCell ref="A2:D2"/>
    <mergeCell ref="I1:O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DB29-E02B-4110-A114-12C740F9FD39}">
  <dimension ref="A1:P10"/>
  <sheetViews>
    <sheetView workbookViewId="0">
      <selection activeCell="H18" sqref="H18"/>
    </sheetView>
  </sheetViews>
  <sheetFormatPr defaultRowHeight="14.25" x14ac:dyDescent="0.2"/>
  <cols>
    <col min="1" max="5" width="15.625" customWidth="1"/>
    <col min="6" max="6" width="17" customWidth="1"/>
    <col min="7" max="7" width="15.625" customWidth="1"/>
    <col min="9" max="9" width="13.5" customWidth="1"/>
    <col min="10" max="10" width="9.625" customWidth="1"/>
    <col min="11" max="11" width="12.375" customWidth="1"/>
    <col min="12" max="12" width="12.25" customWidth="1"/>
    <col min="13" max="13" width="13.75" customWidth="1"/>
    <col min="14" max="14" width="14.375" customWidth="1"/>
    <col min="15" max="15" width="13.125" customWidth="1"/>
    <col min="16" max="16" width="12.75" customWidth="1"/>
  </cols>
  <sheetData>
    <row r="1" spans="1:16" ht="30" customHeight="1" x14ac:dyDescent="0.2">
      <c r="A1" s="5" t="s">
        <v>0</v>
      </c>
      <c r="B1" s="5"/>
      <c r="C1" s="5"/>
      <c r="D1" s="5"/>
      <c r="E1" s="5"/>
      <c r="F1" s="5"/>
      <c r="G1" s="5"/>
      <c r="I1" s="5" t="s">
        <v>47</v>
      </c>
      <c r="J1" s="5"/>
      <c r="K1" s="5"/>
      <c r="L1" s="5"/>
      <c r="M1" s="5"/>
      <c r="N1" s="5"/>
      <c r="O1" s="5"/>
    </row>
    <row r="2" spans="1:16" ht="30" customHeight="1" x14ac:dyDescent="0.2">
      <c r="A2" s="4" t="s">
        <v>29</v>
      </c>
      <c r="B2" s="4"/>
      <c r="C2" s="4"/>
      <c r="D2" s="4"/>
      <c r="E2" s="1"/>
      <c r="F2" s="1"/>
      <c r="G2" s="1"/>
    </row>
    <row r="3" spans="1:16" ht="30" customHeight="1" x14ac:dyDescent="0.2">
      <c r="A3" s="2" t="s">
        <v>1</v>
      </c>
      <c r="B3" s="2" t="s">
        <v>4</v>
      </c>
      <c r="C3" s="2" t="s">
        <v>11</v>
      </c>
      <c r="D3" s="2" t="s">
        <v>13</v>
      </c>
      <c r="E3" s="2" t="s">
        <v>2</v>
      </c>
      <c r="F3" s="2" t="s">
        <v>8</v>
      </c>
      <c r="G3" s="2" t="s">
        <v>3</v>
      </c>
      <c r="I3" s="7" t="s">
        <v>50</v>
      </c>
      <c r="J3" s="7" t="s">
        <v>48</v>
      </c>
      <c r="K3" s="7" t="s">
        <v>54</v>
      </c>
      <c r="L3" s="7" t="s">
        <v>58</v>
      </c>
      <c r="M3" s="7" t="s">
        <v>55</v>
      </c>
      <c r="N3" s="7" t="s">
        <v>49</v>
      </c>
      <c r="O3" s="7" t="s">
        <v>51</v>
      </c>
      <c r="P3" s="7" t="s">
        <v>52</v>
      </c>
    </row>
    <row r="4" spans="1:16" ht="30" customHeight="1" x14ac:dyDescent="0.2">
      <c r="A4" s="1" t="s">
        <v>6</v>
      </c>
      <c r="B4" s="1" t="s">
        <v>25</v>
      </c>
      <c r="C4" s="1">
        <v>35</v>
      </c>
      <c r="D4" s="1" t="s">
        <v>14</v>
      </c>
      <c r="E4" s="1">
        <v>1</v>
      </c>
      <c r="F4" s="1" t="s">
        <v>26</v>
      </c>
      <c r="G4" s="3">
        <v>1740</v>
      </c>
      <c r="I4" s="8" t="s">
        <v>53</v>
      </c>
      <c r="J4" s="11">
        <v>46156.4</v>
      </c>
      <c r="K4" s="9">
        <v>180</v>
      </c>
      <c r="L4" s="9">
        <v>125</v>
      </c>
      <c r="M4" s="9">
        <v>6</v>
      </c>
      <c r="N4" s="9">
        <v>1080</v>
      </c>
      <c r="O4" s="8" t="s">
        <v>57</v>
      </c>
      <c r="P4" s="11"/>
    </row>
    <row r="5" spans="1:16" ht="30" customHeight="1" x14ac:dyDescent="0.2">
      <c r="A5" s="1" t="s">
        <v>15</v>
      </c>
      <c r="B5" s="1" t="s">
        <v>16</v>
      </c>
      <c r="C5" s="1" t="s">
        <v>19</v>
      </c>
      <c r="D5" s="1" t="s">
        <v>18</v>
      </c>
      <c r="E5" s="1">
        <v>1</v>
      </c>
      <c r="F5" s="1" t="s">
        <v>17</v>
      </c>
      <c r="G5" s="3">
        <v>1970</v>
      </c>
      <c r="I5" s="2"/>
      <c r="J5" s="1"/>
      <c r="K5" s="1"/>
      <c r="L5" s="1"/>
      <c r="M5" s="1"/>
      <c r="N5" s="1"/>
      <c r="O5" s="2"/>
      <c r="P5" s="1"/>
    </row>
    <row r="6" spans="1:16" ht="30" customHeight="1" x14ac:dyDescent="0.2">
      <c r="A6" s="3" t="s">
        <v>20</v>
      </c>
      <c r="B6" s="1" t="s">
        <v>27</v>
      </c>
      <c r="C6" s="1" t="s">
        <v>17</v>
      </c>
      <c r="D6" s="1" t="s">
        <v>17</v>
      </c>
      <c r="E6" s="1">
        <v>1</v>
      </c>
      <c r="F6" s="1" t="s">
        <v>28</v>
      </c>
      <c r="G6" s="3">
        <v>450</v>
      </c>
      <c r="I6" s="1"/>
      <c r="J6" s="1"/>
      <c r="K6" s="1"/>
      <c r="L6" s="1"/>
      <c r="M6" s="1"/>
      <c r="N6" s="1"/>
    </row>
    <row r="7" spans="1:16" ht="30" customHeight="1" x14ac:dyDescent="0.2">
      <c r="A7" s="2" t="s">
        <v>23</v>
      </c>
      <c r="B7" s="1"/>
      <c r="C7" s="1"/>
      <c r="D7" s="1"/>
      <c r="E7" s="1"/>
      <c r="F7" s="1"/>
      <c r="G7" s="1">
        <f>SUM(G4:G6)</f>
        <v>4160</v>
      </c>
      <c r="I7" s="1"/>
      <c r="J7" s="1"/>
      <c r="K7" s="1"/>
      <c r="L7" s="1"/>
      <c r="M7" s="1"/>
      <c r="N7" s="1"/>
    </row>
    <row r="8" spans="1:16" ht="30" customHeight="1" x14ac:dyDescent="0.2">
      <c r="A8" s="2"/>
      <c r="B8" s="1"/>
      <c r="C8" s="1"/>
      <c r="D8" s="1"/>
      <c r="E8" s="2"/>
      <c r="F8" s="1"/>
      <c r="G8" s="2"/>
      <c r="I8" s="1"/>
      <c r="J8" s="1"/>
      <c r="K8" s="1"/>
      <c r="L8" s="1"/>
      <c r="M8" s="1"/>
      <c r="N8" s="1"/>
    </row>
    <row r="9" spans="1:16" x14ac:dyDescent="0.2">
      <c r="A9" s="1"/>
      <c r="B9" s="1"/>
      <c r="C9" s="1"/>
      <c r="D9" s="1"/>
      <c r="E9" s="1"/>
      <c r="F9" s="1"/>
      <c r="G9" s="1"/>
    </row>
    <row r="10" spans="1:16" x14ac:dyDescent="0.2">
      <c r="A10" s="1"/>
      <c r="B10" s="1"/>
      <c r="C10" s="1"/>
      <c r="D10" s="1"/>
      <c r="E10" s="1"/>
      <c r="F10" s="1"/>
      <c r="G10" s="1"/>
    </row>
  </sheetData>
  <mergeCells count="3">
    <mergeCell ref="A1:G1"/>
    <mergeCell ref="A2:D2"/>
    <mergeCell ref="I1:O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EE51-1829-48CE-B48B-897B559D2022}">
  <dimension ref="A1:P10"/>
  <sheetViews>
    <sheetView workbookViewId="0">
      <selection activeCell="P5" sqref="P5"/>
    </sheetView>
  </sheetViews>
  <sheetFormatPr defaultRowHeight="30.75" customHeight="1" x14ac:dyDescent="0.2"/>
  <cols>
    <col min="1" max="5" width="15.625" customWidth="1"/>
    <col min="6" max="6" width="17" customWidth="1"/>
    <col min="7" max="7" width="15.625" customWidth="1"/>
    <col min="9" max="9" width="13.5" customWidth="1"/>
    <col min="10" max="10" width="9.625" customWidth="1"/>
    <col min="11" max="11" width="12.375" customWidth="1"/>
    <col min="12" max="12" width="12.25" customWidth="1"/>
    <col min="13" max="13" width="13.75" customWidth="1"/>
    <col min="14" max="14" width="14.375" customWidth="1"/>
    <col min="15" max="15" width="13.125" customWidth="1"/>
    <col min="16" max="16" width="12.75" customWidth="1"/>
  </cols>
  <sheetData>
    <row r="1" spans="1:16" ht="30.75" customHeight="1" x14ac:dyDescent="0.2">
      <c r="A1" s="5" t="s">
        <v>0</v>
      </c>
      <c r="B1" s="5"/>
      <c r="C1" s="5"/>
      <c r="D1" s="5"/>
      <c r="E1" s="5"/>
      <c r="F1" s="5"/>
      <c r="G1" s="5"/>
      <c r="I1" s="5" t="s">
        <v>47</v>
      </c>
      <c r="J1" s="5"/>
      <c r="K1" s="5"/>
      <c r="L1" s="5"/>
      <c r="M1" s="5"/>
      <c r="N1" s="5"/>
      <c r="O1" s="5"/>
    </row>
    <row r="2" spans="1:16" ht="30.75" customHeight="1" x14ac:dyDescent="0.2">
      <c r="A2" s="4" t="s">
        <v>30</v>
      </c>
      <c r="B2" s="4"/>
      <c r="C2" s="4"/>
      <c r="D2" s="4"/>
      <c r="E2" s="1"/>
      <c r="F2" s="1"/>
      <c r="G2" s="1"/>
    </row>
    <row r="3" spans="1:16" ht="30.75" customHeight="1" x14ac:dyDescent="0.2">
      <c r="A3" s="2" t="s">
        <v>1</v>
      </c>
      <c r="B3" s="2" t="s">
        <v>4</v>
      </c>
      <c r="C3" s="2" t="s">
        <v>11</v>
      </c>
      <c r="D3" s="2" t="s">
        <v>13</v>
      </c>
      <c r="E3" s="2" t="s">
        <v>2</v>
      </c>
      <c r="F3" s="2" t="s">
        <v>8</v>
      </c>
      <c r="G3" s="2" t="s">
        <v>3</v>
      </c>
      <c r="I3" s="7" t="s">
        <v>50</v>
      </c>
      <c r="J3" s="7" t="s">
        <v>48</v>
      </c>
      <c r="K3" s="7" t="s">
        <v>54</v>
      </c>
      <c r="L3" s="7" t="s">
        <v>58</v>
      </c>
      <c r="M3" s="7" t="s">
        <v>55</v>
      </c>
      <c r="N3" s="7" t="s">
        <v>49</v>
      </c>
      <c r="O3" s="7" t="s">
        <v>51</v>
      </c>
      <c r="P3" s="7" t="s">
        <v>52</v>
      </c>
    </row>
    <row r="4" spans="1:16" ht="30.75" customHeight="1" x14ac:dyDescent="0.2">
      <c r="A4" s="1" t="s">
        <v>6</v>
      </c>
      <c r="B4" s="1" t="s">
        <v>25</v>
      </c>
      <c r="C4" s="1">
        <v>31</v>
      </c>
      <c r="D4" s="1" t="s">
        <v>14</v>
      </c>
      <c r="E4" s="1">
        <v>1</v>
      </c>
      <c r="F4" s="1" t="s">
        <v>26</v>
      </c>
      <c r="G4" s="3">
        <v>1720</v>
      </c>
      <c r="I4" s="2" t="s">
        <v>53</v>
      </c>
      <c r="J4" s="6">
        <v>46155.4</v>
      </c>
      <c r="K4" s="1">
        <v>219</v>
      </c>
      <c r="L4" s="1">
        <v>150</v>
      </c>
      <c r="M4" s="1">
        <v>6</v>
      </c>
      <c r="N4" s="1">
        <v>1316</v>
      </c>
      <c r="O4" s="2" t="s">
        <v>56</v>
      </c>
      <c r="P4" s="6">
        <v>46160.4</v>
      </c>
    </row>
    <row r="5" spans="1:16" ht="30.75" customHeight="1" x14ac:dyDescent="0.2">
      <c r="A5" s="1" t="s">
        <v>31</v>
      </c>
      <c r="B5" s="1" t="s">
        <v>32</v>
      </c>
      <c r="C5" s="1">
        <v>28</v>
      </c>
      <c r="D5" s="1" t="s">
        <v>33</v>
      </c>
      <c r="E5" s="1">
        <v>1</v>
      </c>
      <c r="F5" s="1" t="s">
        <v>9</v>
      </c>
      <c r="G5" s="1">
        <v>960</v>
      </c>
      <c r="I5" s="8" t="s">
        <v>60</v>
      </c>
      <c r="J5" s="9">
        <v>5.17</v>
      </c>
      <c r="K5" s="9">
        <v>252.6</v>
      </c>
      <c r="L5" s="9">
        <v>155</v>
      </c>
      <c r="M5" s="9">
        <v>5.5</v>
      </c>
      <c r="N5" s="9">
        <v>1621.4</v>
      </c>
      <c r="O5" s="8" t="s">
        <v>57</v>
      </c>
      <c r="P5" s="1"/>
    </row>
    <row r="6" spans="1:16" ht="30.75" customHeight="1" x14ac:dyDescent="0.2">
      <c r="A6" s="3" t="s">
        <v>34</v>
      </c>
      <c r="B6" s="1" t="s">
        <v>17</v>
      </c>
      <c r="C6" s="1"/>
      <c r="D6" s="1" t="s">
        <v>35</v>
      </c>
      <c r="E6" s="1">
        <v>1</v>
      </c>
      <c r="F6" s="1" t="s">
        <v>36</v>
      </c>
      <c r="G6" s="3">
        <v>1820</v>
      </c>
      <c r="I6" s="1"/>
      <c r="J6" s="1"/>
      <c r="K6" s="1"/>
      <c r="L6" s="1"/>
      <c r="M6" s="1"/>
      <c r="N6" s="1"/>
    </row>
    <row r="7" spans="1:16" ht="30.75" customHeight="1" x14ac:dyDescent="0.2">
      <c r="A7" s="3" t="s">
        <v>20</v>
      </c>
      <c r="B7" s="1" t="s">
        <v>21</v>
      </c>
      <c r="C7" s="1" t="s">
        <v>17</v>
      </c>
      <c r="D7" s="1" t="s">
        <v>17</v>
      </c>
      <c r="E7" s="1">
        <v>1</v>
      </c>
      <c r="F7" s="1" t="s">
        <v>22</v>
      </c>
      <c r="G7" s="3">
        <v>490</v>
      </c>
      <c r="I7" s="1"/>
      <c r="J7" s="1"/>
      <c r="K7" s="1"/>
      <c r="L7" s="1"/>
      <c r="M7" s="1"/>
      <c r="N7" s="1"/>
    </row>
    <row r="8" spans="1:16" ht="30.75" customHeight="1" x14ac:dyDescent="0.2">
      <c r="A8" s="2" t="s">
        <v>23</v>
      </c>
      <c r="B8" s="1"/>
      <c r="C8" s="1"/>
      <c r="D8" s="1"/>
      <c r="E8" s="1"/>
      <c r="F8" s="1"/>
      <c r="G8" s="1">
        <f>SUM(G4:G7)</f>
        <v>4990</v>
      </c>
      <c r="I8" s="1"/>
      <c r="J8" s="1"/>
      <c r="K8" s="1"/>
      <c r="L8" s="1"/>
      <c r="M8" s="1"/>
      <c r="N8" s="1"/>
    </row>
    <row r="9" spans="1:16" ht="30.75" customHeight="1" x14ac:dyDescent="0.2">
      <c r="A9" s="1"/>
      <c r="B9" s="1"/>
      <c r="C9" s="1"/>
      <c r="D9" s="1"/>
      <c r="E9" s="1"/>
      <c r="F9" s="1"/>
      <c r="G9" s="1"/>
    </row>
    <row r="10" spans="1:16" ht="30.75" customHeight="1" x14ac:dyDescent="0.2">
      <c r="A10" s="1"/>
      <c r="B10" s="1"/>
      <c r="C10" s="1"/>
      <c r="D10" s="1"/>
      <c r="E10" s="1"/>
      <c r="F10" s="1"/>
      <c r="G10" s="1"/>
    </row>
  </sheetData>
  <mergeCells count="3">
    <mergeCell ref="A1:G1"/>
    <mergeCell ref="A2:D2"/>
    <mergeCell ref="I1:O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355B-6635-4750-B26C-A6C4B709C689}">
  <dimension ref="A1:P10"/>
  <sheetViews>
    <sheetView topLeftCell="A2" workbookViewId="0">
      <selection activeCell="N17" sqref="N17"/>
    </sheetView>
  </sheetViews>
  <sheetFormatPr defaultRowHeight="14.25" x14ac:dyDescent="0.2"/>
  <cols>
    <col min="1" max="5" width="15.625" customWidth="1"/>
    <col min="6" max="6" width="17" customWidth="1"/>
    <col min="7" max="7" width="15.625" customWidth="1"/>
    <col min="9" max="9" width="13.5" customWidth="1"/>
    <col min="10" max="10" width="9.625" customWidth="1"/>
    <col min="11" max="11" width="12.375" customWidth="1"/>
    <col min="12" max="12" width="12.25" customWidth="1"/>
    <col min="13" max="13" width="13.75" customWidth="1"/>
    <col min="14" max="14" width="14.375" customWidth="1"/>
    <col min="15" max="15" width="13.125" customWidth="1"/>
    <col min="16" max="16" width="12.75" customWidth="1"/>
  </cols>
  <sheetData>
    <row r="1" spans="1:16" ht="30.75" customHeight="1" x14ac:dyDescent="0.2">
      <c r="A1" s="5" t="s">
        <v>0</v>
      </c>
      <c r="B1" s="5"/>
      <c r="C1" s="5"/>
      <c r="D1" s="5"/>
      <c r="E1" s="5"/>
      <c r="F1" s="5"/>
      <c r="G1" s="5"/>
      <c r="I1" s="5" t="s">
        <v>47</v>
      </c>
      <c r="J1" s="5"/>
      <c r="K1" s="5"/>
      <c r="L1" s="5"/>
      <c r="M1" s="5"/>
      <c r="N1" s="5"/>
      <c r="O1" s="5"/>
    </row>
    <row r="2" spans="1:16" ht="30.75" customHeight="1" x14ac:dyDescent="0.2">
      <c r="A2" s="4" t="s">
        <v>37</v>
      </c>
      <c r="B2" s="4"/>
      <c r="C2" s="4"/>
      <c r="D2" s="4"/>
      <c r="E2" s="1"/>
      <c r="F2" s="1"/>
      <c r="G2" s="1"/>
    </row>
    <row r="3" spans="1:16" ht="30.75" customHeight="1" x14ac:dyDescent="0.2">
      <c r="A3" s="2" t="s">
        <v>1</v>
      </c>
      <c r="B3" s="2" t="s">
        <v>4</v>
      </c>
      <c r="C3" s="2" t="s">
        <v>11</v>
      </c>
      <c r="D3" s="2" t="s">
        <v>13</v>
      </c>
      <c r="E3" s="2" t="s">
        <v>2</v>
      </c>
      <c r="F3" s="2" t="s">
        <v>8</v>
      </c>
      <c r="G3" s="2" t="s">
        <v>3</v>
      </c>
      <c r="I3" s="7" t="s">
        <v>50</v>
      </c>
      <c r="J3" s="7" t="s">
        <v>48</v>
      </c>
      <c r="K3" s="7" t="s">
        <v>54</v>
      </c>
      <c r="L3" s="7" t="s">
        <v>58</v>
      </c>
      <c r="M3" s="7" t="s">
        <v>55</v>
      </c>
      <c r="N3" s="7" t="s">
        <v>49</v>
      </c>
      <c r="O3" s="7" t="s">
        <v>51</v>
      </c>
      <c r="P3" s="7" t="s">
        <v>52</v>
      </c>
    </row>
    <row r="4" spans="1:16" ht="30.75" customHeight="1" x14ac:dyDescent="0.2">
      <c r="A4" s="1" t="s">
        <v>6</v>
      </c>
      <c r="B4" s="1" t="s">
        <v>25</v>
      </c>
      <c r="C4" s="1">
        <v>31</v>
      </c>
      <c r="D4" s="1" t="s">
        <v>14</v>
      </c>
      <c r="E4" s="1">
        <v>1</v>
      </c>
      <c r="F4" s="1" t="s">
        <v>26</v>
      </c>
      <c r="G4" s="3">
        <v>1750</v>
      </c>
      <c r="I4" s="8" t="s">
        <v>53</v>
      </c>
      <c r="J4" s="12">
        <v>46145.4</v>
      </c>
      <c r="K4" s="8">
        <v>28</v>
      </c>
      <c r="L4" s="8">
        <v>20</v>
      </c>
      <c r="M4" s="8">
        <v>6</v>
      </c>
      <c r="N4" s="8">
        <v>168</v>
      </c>
      <c r="O4" s="8" t="s">
        <v>57</v>
      </c>
      <c r="P4" s="6"/>
    </row>
    <row r="5" spans="1:16" ht="30.75" customHeight="1" x14ac:dyDescent="0.2">
      <c r="A5" s="1" t="s">
        <v>39</v>
      </c>
      <c r="B5" s="1" t="s">
        <v>40</v>
      </c>
      <c r="C5" s="1" t="s">
        <v>17</v>
      </c>
      <c r="D5" s="1" t="s">
        <v>14</v>
      </c>
      <c r="E5" s="1">
        <v>1</v>
      </c>
      <c r="F5" s="1" t="s">
        <v>17</v>
      </c>
      <c r="G5" s="1">
        <v>1450</v>
      </c>
      <c r="I5" s="2"/>
      <c r="J5" s="1"/>
      <c r="K5" s="1"/>
      <c r="L5" s="1"/>
      <c r="M5" s="1"/>
      <c r="N5" s="1"/>
      <c r="O5" s="2"/>
      <c r="P5" s="1"/>
    </row>
    <row r="6" spans="1:16" ht="30.75" customHeight="1" x14ac:dyDescent="0.2">
      <c r="A6" s="3" t="s">
        <v>41</v>
      </c>
      <c r="B6" s="1" t="s">
        <v>42</v>
      </c>
      <c r="C6" s="1" t="s">
        <v>17</v>
      </c>
      <c r="D6" s="1" t="s">
        <v>43</v>
      </c>
      <c r="E6" s="1">
        <v>1</v>
      </c>
      <c r="F6" s="1" t="s">
        <v>44</v>
      </c>
      <c r="G6" s="3">
        <v>5600</v>
      </c>
      <c r="I6" s="1"/>
      <c r="J6" s="1"/>
      <c r="K6" s="1"/>
      <c r="L6" s="1"/>
      <c r="M6" s="1"/>
      <c r="N6" s="1"/>
    </row>
    <row r="7" spans="1:16" ht="30.75" customHeight="1" x14ac:dyDescent="0.2">
      <c r="A7" s="3" t="s">
        <v>20</v>
      </c>
      <c r="B7" s="1" t="s">
        <v>45</v>
      </c>
      <c r="C7" s="1" t="s">
        <v>17</v>
      </c>
      <c r="D7" s="1" t="s">
        <v>17</v>
      </c>
      <c r="E7" s="1">
        <v>1</v>
      </c>
      <c r="F7" s="1" t="s">
        <v>46</v>
      </c>
      <c r="G7" s="1">
        <v>560</v>
      </c>
      <c r="I7" s="1"/>
      <c r="J7" s="1"/>
      <c r="K7" s="1"/>
      <c r="L7" s="1"/>
      <c r="M7" s="1"/>
      <c r="N7" s="1"/>
    </row>
    <row r="8" spans="1:16" ht="30.75" customHeight="1" x14ac:dyDescent="0.2">
      <c r="A8" s="2" t="s">
        <v>23</v>
      </c>
      <c r="B8" s="1"/>
      <c r="C8" s="1"/>
      <c r="D8" s="1"/>
      <c r="E8" s="1"/>
      <c r="F8" s="1"/>
      <c r="G8" s="1">
        <f>SUM(G5:G7)</f>
        <v>7610</v>
      </c>
      <c r="I8" s="1"/>
      <c r="J8" s="1"/>
      <c r="K8" s="1"/>
      <c r="L8" s="1"/>
      <c r="M8" s="1"/>
      <c r="N8" s="1"/>
    </row>
    <row r="9" spans="1:16" x14ac:dyDescent="0.2">
      <c r="A9" s="1"/>
      <c r="B9" s="1"/>
      <c r="C9" s="1"/>
      <c r="D9" s="1"/>
      <c r="E9" s="1"/>
      <c r="F9" s="1"/>
      <c r="G9" s="1"/>
    </row>
    <row r="10" spans="1:16" x14ac:dyDescent="0.2">
      <c r="A10" s="1"/>
      <c r="B10" s="1"/>
      <c r="C10" s="1"/>
      <c r="D10" s="1"/>
      <c r="E10" s="1"/>
      <c r="F10" s="1"/>
      <c r="G10" s="1"/>
    </row>
  </sheetData>
  <mergeCells count="3">
    <mergeCell ref="A1:G1"/>
    <mergeCell ref="A2:D2"/>
    <mergeCell ref="I1:O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EABE-52EB-4CB7-82F5-2BCC8BC02094}">
  <dimension ref="A1:P10"/>
  <sheetViews>
    <sheetView workbookViewId="0">
      <selection activeCell="J19" sqref="J19"/>
    </sheetView>
  </sheetViews>
  <sheetFormatPr defaultRowHeight="14.25" x14ac:dyDescent="0.2"/>
  <cols>
    <col min="1" max="5" width="15.625" customWidth="1"/>
    <col min="6" max="6" width="17" customWidth="1"/>
    <col min="7" max="7" width="15.625" customWidth="1"/>
    <col min="9" max="9" width="13.5" customWidth="1"/>
    <col min="10" max="10" width="9.625" customWidth="1"/>
    <col min="11" max="11" width="12.375" customWidth="1"/>
    <col min="12" max="12" width="12.25" customWidth="1"/>
    <col min="13" max="13" width="13.75" customWidth="1"/>
    <col min="14" max="14" width="14.375" customWidth="1"/>
    <col min="15" max="15" width="13.125" customWidth="1"/>
    <col min="16" max="16" width="12.75" customWidth="1"/>
  </cols>
  <sheetData>
    <row r="1" spans="1:16" ht="30.75" customHeight="1" x14ac:dyDescent="0.2">
      <c r="A1" s="5" t="s">
        <v>0</v>
      </c>
      <c r="B1" s="5"/>
      <c r="C1" s="5"/>
      <c r="D1" s="5"/>
      <c r="E1" s="5"/>
      <c r="F1" s="5"/>
      <c r="G1" s="5"/>
      <c r="I1" s="5" t="s">
        <v>47</v>
      </c>
      <c r="J1" s="5"/>
      <c r="K1" s="5"/>
      <c r="L1" s="5"/>
      <c r="M1" s="5"/>
      <c r="N1" s="5"/>
      <c r="O1" s="5"/>
    </row>
    <row r="2" spans="1:16" ht="30.75" customHeight="1" x14ac:dyDescent="0.2">
      <c r="A2" s="4" t="s">
        <v>38</v>
      </c>
      <c r="B2" s="4"/>
      <c r="C2" s="4"/>
      <c r="D2" s="4"/>
      <c r="E2" s="1"/>
      <c r="F2" s="1"/>
      <c r="G2" s="1"/>
    </row>
    <row r="3" spans="1:16" ht="30.75" customHeight="1" x14ac:dyDescent="0.2">
      <c r="A3" s="2" t="s">
        <v>1</v>
      </c>
      <c r="B3" s="2" t="s">
        <v>4</v>
      </c>
      <c r="C3" s="2" t="s">
        <v>11</v>
      </c>
      <c r="D3" s="2" t="s">
        <v>13</v>
      </c>
      <c r="E3" s="2" t="s">
        <v>2</v>
      </c>
      <c r="F3" s="2" t="s">
        <v>8</v>
      </c>
      <c r="G3" s="2" t="s">
        <v>3</v>
      </c>
      <c r="I3" s="7" t="s">
        <v>50</v>
      </c>
      <c r="J3" s="7" t="s">
        <v>48</v>
      </c>
      <c r="K3" s="7" t="s">
        <v>54</v>
      </c>
      <c r="L3" s="7" t="s">
        <v>58</v>
      </c>
      <c r="M3" s="7" t="s">
        <v>55</v>
      </c>
      <c r="N3" s="7" t="s">
        <v>49</v>
      </c>
      <c r="O3" s="7" t="s">
        <v>51</v>
      </c>
      <c r="P3" s="7" t="s">
        <v>52</v>
      </c>
    </row>
    <row r="4" spans="1:16" ht="30.75" customHeight="1" x14ac:dyDescent="0.2">
      <c r="A4" s="1" t="s">
        <v>6</v>
      </c>
      <c r="B4" s="1" t="s">
        <v>25</v>
      </c>
      <c r="C4" s="1">
        <v>31</v>
      </c>
      <c r="D4" s="1" t="s">
        <v>14</v>
      </c>
      <c r="E4" s="1">
        <v>1</v>
      </c>
      <c r="F4" s="1" t="s">
        <v>26</v>
      </c>
      <c r="G4" s="3">
        <v>1750</v>
      </c>
      <c r="I4" s="8" t="s">
        <v>53</v>
      </c>
      <c r="J4" s="11">
        <v>46154.400000000001</v>
      </c>
      <c r="K4" s="9">
        <v>64</v>
      </c>
      <c r="L4" s="9">
        <v>50</v>
      </c>
      <c r="M4" s="9">
        <v>6</v>
      </c>
      <c r="N4" s="9">
        <v>384</v>
      </c>
      <c r="O4" s="8" t="s">
        <v>57</v>
      </c>
      <c r="P4" s="6"/>
    </row>
    <row r="5" spans="1:16" ht="30.75" customHeight="1" x14ac:dyDescent="0.2">
      <c r="A5" s="1" t="s">
        <v>39</v>
      </c>
      <c r="B5" s="1" t="s">
        <v>40</v>
      </c>
      <c r="C5" s="1" t="s">
        <v>17</v>
      </c>
      <c r="D5" s="1" t="s">
        <v>14</v>
      </c>
      <c r="E5" s="1">
        <v>1</v>
      </c>
      <c r="F5" s="1" t="s">
        <v>17</v>
      </c>
      <c r="G5" s="1">
        <v>1450</v>
      </c>
      <c r="I5" s="8" t="s">
        <v>60</v>
      </c>
      <c r="J5" s="9">
        <v>5.17</v>
      </c>
      <c r="K5" s="9">
        <v>265.8</v>
      </c>
      <c r="L5" s="9">
        <v>175</v>
      </c>
      <c r="M5" s="9">
        <v>6</v>
      </c>
      <c r="N5" s="9">
        <v>1594.8</v>
      </c>
      <c r="O5" s="8" t="s">
        <v>57</v>
      </c>
      <c r="P5" s="1"/>
    </row>
    <row r="6" spans="1:16" ht="30.75" customHeight="1" x14ac:dyDescent="0.2">
      <c r="A6" s="3" t="s">
        <v>41</v>
      </c>
      <c r="B6" s="1" t="s">
        <v>42</v>
      </c>
      <c r="C6" s="1" t="s">
        <v>17</v>
      </c>
      <c r="D6" s="1" t="s">
        <v>43</v>
      </c>
      <c r="E6" s="1">
        <v>1</v>
      </c>
      <c r="F6" s="1" t="s">
        <v>44</v>
      </c>
      <c r="G6" s="3">
        <v>5600</v>
      </c>
      <c r="I6" s="1"/>
      <c r="J6" s="1"/>
      <c r="K6" s="1"/>
      <c r="L6" s="1"/>
      <c r="M6" s="1"/>
      <c r="N6" s="1"/>
    </row>
    <row r="7" spans="1:16" ht="30.75" customHeight="1" x14ac:dyDescent="0.2">
      <c r="A7" s="3" t="s">
        <v>20</v>
      </c>
      <c r="B7" s="1" t="s">
        <v>27</v>
      </c>
      <c r="C7" s="1" t="s">
        <v>17</v>
      </c>
      <c r="D7" s="1" t="s">
        <v>17</v>
      </c>
      <c r="E7" s="1">
        <v>1</v>
      </c>
      <c r="F7" s="1" t="s">
        <v>28</v>
      </c>
      <c r="G7" s="1">
        <v>450</v>
      </c>
      <c r="I7" s="1"/>
      <c r="J7" s="1"/>
      <c r="K7" s="1"/>
      <c r="L7" s="1"/>
      <c r="M7" s="1"/>
      <c r="N7" s="1"/>
    </row>
    <row r="8" spans="1:16" ht="30.75" customHeight="1" x14ac:dyDescent="0.2">
      <c r="A8" s="2" t="s">
        <v>23</v>
      </c>
      <c r="B8" s="1"/>
      <c r="C8" s="1"/>
      <c r="D8" s="1"/>
      <c r="E8" s="1"/>
      <c r="F8" s="1"/>
      <c r="G8" s="1">
        <f>SUM(G5:G7)</f>
        <v>7500</v>
      </c>
      <c r="I8" s="1"/>
      <c r="J8" s="1"/>
      <c r="K8" s="1"/>
      <c r="L8" s="1"/>
      <c r="M8" s="1"/>
      <c r="N8" s="1"/>
    </row>
    <row r="9" spans="1:16" x14ac:dyDescent="0.2">
      <c r="A9" s="1"/>
      <c r="B9" s="1"/>
      <c r="C9" s="1"/>
      <c r="D9" s="1"/>
      <c r="E9" s="1"/>
      <c r="F9" s="1"/>
      <c r="G9" s="1"/>
    </row>
    <row r="10" spans="1:16" x14ac:dyDescent="0.2">
      <c r="A10" s="1"/>
      <c r="B10" s="1"/>
      <c r="C10" s="1"/>
      <c r="D10" s="1"/>
      <c r="E10" s="1"/>
      <c r="F10" s="1"/>
      <c r="G10" s="1"/>
    </row>
  </sheetData>
  <mergeCells count="3">
    <mergeCell ref="A1:G1"/>
    <mergeCell ref="A2:D2"/>
    <mergeCell ref="I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常德老爷子土菜馆</vt:lpstr>
      <vt:lpstr>莽贵贵老贵阳烤鸡</vt:lpstr>
      <vt:lpstr>北味村豆包东北烧烤</vt:lpstr>
      <vt:lpstr>福缘东北菜饺子馆子</vt:lpstr>
      <vt:lpstr>小湘厨（壆岗店）</vt:lpstr>
      <vt:lpstr>小湘厨（味家鲜)(固戍店)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 彭</dc:creator>
  <cp:lastModifiedBy>振 彭</cp:lastModifiedBy>
  <dcterms:created xsi:type="dcterms:W3CDTF">2026-05-20T06:54:48Z</dcterms:created>
  <dcterms:modified xsi:type="dcterms:W3CDTF">2026-05-20T08:14:20Z</dcterms:modified>
</cp:coreProperties>
</file>